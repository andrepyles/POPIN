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bfebe1ad6c4bd7/Faculdade/Mestrado/Dissertação/2 - Código/Versões/IRP 1.0/Discursos de Posse/"/>
    </mc:Choice>
  </mc:AlternateContent>
  <xr:revisionPtr revIDLastSave="1312" documentId="8_{B1979693-2CD9-41A0-821D-584311095A00}" xr6:coauthVersionLast="47" xr6:coauthVersionMax="47" xr10:uidLastSave="{B9C33FE8-E4AF-47CF-8264-3E17A429BE5E}"/>
  <bookViews>
    <workbookView xWindow="-110" yWindow="-110" windowWidth="19420" windowHeight="10300" activeTab="2" xr2:uid="{1A64E254-C5E5-4739-B014-60A407758679}"/>
  </bookViews>
  <sheets>
    <sheet name="CATALOGO" sheetId="8" r:id="rId1"/>
    <sheet name="TABELA DISSERTAÇÃO" sheetId="10" r:id="rId2"/>
    <sheet name="TABELA FLAG POPULISMO" sheetId="11" r:id="rId3"/>
  </sheets>
  <definedNames>
    <definedName name="_xlnm._FilterDatabase" localSheetId="0" hidden="1">CATALOGO!$A$1:$V$111</definedName>
    <definedName name="_xlnm._FilterDatabase" localSheetId="1" hidden="1">'TABELA DISSERTAÇÃO'!$B$2:$I$81</definedName>
    <definedName name="_xlnm._FilterDatabase" localSheetId="2" hidden="1">'TABELA FLAG POPULISMO'!$B$2:$I$81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K4" i="11"/>
  <c r="L4" i="11" s="1"/>
  <c r="J5" i="11"/>
  <c r="K5" i="11"/>
  <c r="L5" i="11" s="1"/>
  <c r="J6" i="11"/>
  <c r="L6" i="11" s="1"/>
  <c r="K6" i="11"/>
  <c r="J7" i="11"/>
  <c r="K7" i="11"/>
  <c r="L7" i="11" s="1"/>
  <c r="J8" i="11"/>
  <c r="K8" i="11"/>
  <c r="L8" i="11"/>
  <c r="J9" i="11"/>
  <c r="K9" i="11"/>
  <c r="L9" i="11"/>
  <c r="J10" i="11"/>
  <c r="K10" i="11"/>
  <c r="L10" i="11" s="1"/>
  <c r="J11" i="11"/>
  <c r="K11" i="11"/>
  <c r="L11" i="11" s="1"/>
  <c r="J12" i="11"/>
  <c r="K12" i="11"/>
  <c r="L12" i="11" s="1"/>
  <c r="J13" i="11"/>
  <c r="L13" i="11" s="1"/>
  <c r="K13" i="11"/>
  <c r="J14" i="11"/>
  <c r="L14" i="11" s="1"/>
  <c r="K14" i="11"/>
  <c r="J15" i="11"/>
  <c r="K15" i="11"/>
  <c r="L15" i="11" s="1"/>
  <c r="J16" i="11"/>
  <c r="K16" i="11"/>
  <c r="L16" i="11"/>
  <c r="J17" i="11"/>
  <c r="K17" i="11"/>
  <c r="L17" i="11"/>
  <c r="J18" i="11"/>
  <c r="K18" i="11"/>
  <c r="L18" i="11" s="1"/>
  <c r="J19" i="11"/>
  <c r="K19" i="11"/>
  <c r="L19" i="11" s="1"/>
  <c r="J20" i="11"/>
  <c r="K20" i="11"/>
  <c r="L20" i="11" s="1"/>
  <c r="J21" i="11"/>
  <c r="K21" i="11"/>
  <c r="L21" i="11"/>
  <c r="J22" i="11"/>
  <c r="L22" i="11" s="1"/>
  <c r="K22" i="11"/>
  <c r="J23" i="11"/>
  <c r="K23" i="11"/>
  <c r="L23" i="11" s="1"/>
  <c r="J24" i="11"/>
  <c r="K24" i="11"/>
  <c r="L24" i="11"/>
  <c r="J25" i="11"/>
  <c r="K25" i="11"/>
  <c r="L25" i="11"/>
  <c r="J26" i="11"/>
  <c r="K26" i="11"/>
  <c r="L26" i="11" s="1"/>
  <c r="J27" i="11"/>
  <c r="K27" i="11"/>
  <c r="L27" i="11" s="1"/>
  <c r="J28" i="11"/>
  <c r="K28" i="11"/>
  <c r="L28" i="11" s="1"/>
  <c r="J29" i="11"/>
  <c r="K29" i="11"/>
  <c r="L29" i="11"/>
  <c r="J30" i="11"/>
  <c r="L30" i="11" s="1"/>
  <c r="K30" i="11"/>
  <c r="J31" i="11"/>
  <c r="K31" i="11"/>
  <c r="L31" i="11" s="1"/>
  <c r="J32" i="11"/>
  <c r="K32" i="11"/>
  <c r="L32" i="11"/>
  <c r="J33" i="11"/>
  <c r="K33" i="11"/>
  <c r="L33" i="11"/>
  <c r="J34" i="11"/>
  <c r="L34" i="11" s="1"/>
  <c r="K34" i="11"/>
  <c r="J35" i="11"/>
  <c r="K35" i="11"/>
  <c r="L35" i="11" s="1"/>
  <c r="J36" i="11"/>
  <c r="K36" i="11"/>
  <c r="L36" i="11" s="1"/>
  <c r="J37" i="11"/>
  <c r="K37" i="11"/>
  <c r="L37" i="11"/>
  <c r="J38" i="11"/>
  <c r="L38" i="11" s="1"/>
  <c r="K38" i="11"/>
  <c r="J39" i="11"/>
  <c r="K39" i="11"/>
  <c r="L39" i="11" s="1"/>
  <c r="J40" i="11"/>
  <c r="K40" i="11"/>
  <c r="L40" i="11"/>
  <c r="J41" i="11"/>
  <c r="K41" i="11"/>
  <c r="L41" i="11"/>
  <c r="J42" i="11"/>
  <c r="K42" i="11"/>
  <c r="L42" i="11" s="1"/>
  <c r="J43" i="11"/>
  <c r="K43" i="11"/>
  <c r="L43" i="11" s="1"/>
  <c r="J44" i="11"/>
  <c r="K44" i="11"/>
  <c r="L44" i="11" s="1"/>
  <c r="J45" i="11"/>
  <c r="K45" i="11"/>
  <c r="L45" i="11"/>
  <c r="J46" i="11"/>
  <c r="L46" i="11" s="1"/>
  <c r="K46" i="11"/>
  <c r="J47" i="11"/>
  <c r="K47" i="11"/>
  <c r="L47" i="11" s="1"/>
  <c r="J48" i="11"/>
  <c r="K48" i="11"/>
  <c r="L48" i="11"/>
  <c r="J49" i="11"/>
  <c r="K49" i="11"/>
  <c r="L49" i="11"/>
  <c r="J50" i="11"/>
  <c r="K50" i="11"/>
  <c r="L50" i="11" s="1"/>
  <c r="J51" i="11"/>
  <c r="K51" i="11"/>
  <c r="L51" i="11" s="1"/>
  <c r="J52" i="11"/>
  <c r="K52" i="11"/>
  <c r="L52" i="11" s="1"/>
  <c r="J53" i="11"/>
  <c r="K53" i="11"/>
  <c r="L53" i="11"/>
  <c r="J54" i="11"/>
  <c r="L54" i="11" s="1"/>
  <c r="K54" i="11"/>
  <c r="J55" i="11"/>
  <c r="K55" i="11"/>
  <c r="L55" i="11" s="1"/>
  <c r="J56" i="11"/>
  <c r="K56" i="11"/>
  <c r="L56" i="11"/>
  <c r="J57" i="11"/>
  <c r="K57" i="11"/>
  <c r="L57" i="11"/>
  <c r="J58" i="11"/>
  <c r="K58" i="11"/>
  <c r="L58" i="11" s="1"/>
  <c r="J59" i="11"/>
  <c r="K59" i="11"/>
  <c r="L59" i="11" s="1"/>
  <c r="J60" i="11"/>
  <c r="K60" i="11"/>
  <c r="L60" i="11" s="1"/>
  <c r="J61" i="11"/>
  <c r="K61" i="11"/>
  <c r="L61" i="11"/>
  <c r="J62" i="11"/>
  <c r="L62" i="11" s="1"/>
  <c r="K62" i="11"/>
  <c r="J63" i="11"/>
  <c r="K63" i="11"/>
  <c r="L63" i="11" s="1"/>
  <c r="J64" i="11"/>
  <c r="K64" i="11"/>
  <c r="L64" i="11"/>
  <c r="J65" i="11"/>
  <c r="K65" i="11"/>
  <c r="L65" i="11"/>
  <c r="J66" i="11"/>
  <c r="K66" i="11"/>
  <c r="L66" i="11" s="1"/>
  <c r="J67" i="11"/>
  <c r="K67" i="11"/>
  <c r="L67" i="11" s="1"/>
  <c r="J68" i="11"/>
  <c r="K68" i="11"/>
  <c r="L68" i="11" s="1"/>
  <c r="J69" i="11"/>
  <c r="K69" i="11"/>
  <c r="L69" i="11"/>
  <c r="J70" i="11"/>
  <c r="L70" i="11" s="1"/>
  <c r="K70" i="11"/>
  <c r="J71" i="11"/>
  <c r="K71" i="11"/>
  <c r="L71" i="11" s="1"/>
  <c r="J72" i="11"/>
  <c r="K72" i="11"/>
  <c r="L72" i="11"/>
  <c r="J73" i="11"/>
  <c r="K73" i="11"/>
  <c r="L73" i="11"/>
  <c r="J74" i="11"/>
  <c r="K74" i="11"/>
  <c r="L74" i="11" s="1"/>
  <c r="J75" i="11"/>
  <c r="K75" i="11"/>
  <c r="L75" i="11" s="1"/>
  <c r="J76" i="11"/>
  <c r="K76" i="11"/>
  <c r="L76" i="11" s="1"/>
  <c r="J77" i="11"/>
  <c r="K77" i="11"/>
  <c r="L77" i="11"/>
  <c r="J78" i="11"/>
  <c r="L78" i="11" s="1"/>
  <c r="K78" i="11"/>
  <c r="J79" i="11"/>
  <c r="K79" i="11"/>
  <c r="L79" i="11" s="1"/>
  <c r="J80" i="11"/>
  <c r="K80" i="11"/>
  <c r="L80" i="11"/>
  <c r="J81" i="11"/>
  <c r="K81" i="11"/>
  <c r="L81" i="11"/>
  <c r="K3" i="11"/>
  <c r="V8" i="8"/>
  <c r="V45" i="8"/>
  <c r="V47" i="8"/>
  <c r="V65" i="8"/>
  <c r="V66" i="8"/>
  <c r="V67" i="8"/>
  <c r="V68" i="8"/>
  <c r="V69" i="8"/>
  <c r="V70" i="8"/>
  <c r="V71" i="8"/>
  <c r="V80" i="8"/>
  <c r="V81" i="8"/>
  <c r="V82" i="8"/>
  <c r="V88" i="8"/>
  <c r="V90" i="8"/>
  <c r="V93" i="8"/>
  <c r="V94" i="8"/>
  <c r="V95" i="8"/>
  <c r="V107" i="8"/>
  <c r="T3" i="8"/>
  <c r="U3" i="8"/>
  <c r="T4" i="8"/>
  <c r="U4" i="8"/>
  <c r="V4" i="8" s="1"/>
  <c r="T5" i="8"/>
  <c r="U5" i="8"/>
  <c r="T6" i="8"/>
  <c r="U6" i="8"/>
  <c r="V6" i="8" s="1"/>
  <c r="T7" i="8"/>
  <c r="U7" i="8"/>
  <c r="V7" i="8" s="1"/>
  <c r="T8" i="8"/>
  <c r="U8" i="8"/>
  <c r="T9" i="8"/>
  <c r="U9" i="8"/>
  <c r="T10" i="8"/>
  <c r="U10" i="8"/>
  <c r="T11" i="8"/>
  <c r="U11" i="8"/>
  <c r="T12" i="8"/>
  <c r="U12" i="8"/>
  <c r="V12" i="8" s="1"/>
  <c r="T13" i="8"/>
  <c r="U13" i="8"/>
  <c r="T14" i="8"/>
  <c r="U14" i="8"/>
  <c r="V14" i="8" s="1"/>
  <c r="T15" i="8"/>
  <c r="U15" i="8"/>
  <c r="V15" i="8" s="1"/>
  <c r="T16" i="8"/>
  <c r="U16" i="8"/>
  <c r="T17" i="8"/>
  <c r="U17" i="8"/>
  <c r="T18" i="8"/>
  <c r="U18" i="8"/>
  <c r="V18" i="8" s="1"/>
  <c r="T19" i="8"/>
  <c r="U19" i="8"/>
  <c r="T20" i="8"/>
  <c r="U20" i="8"/>
  <c r="V20" i="8" s="1"/>
  <c r="T21" i="8"/>
  <c r="U21" i="8"/>
  <c r="T22" i="8"/>
  <c r="U22" i="8"/>
  <c r="V22" i="8" s="1"/>
  <c r="T23" i="8"/>
  <c r="U23" i="8"/>
  <c r="V23" i="8" s="1"/>
  <c r="T24" i="8"/>
  <c r="U24" i="8"/>
  <c r="T25" i="8"/>
  <c r="U25" i="8"/>
  <c r="T26" i="8"/>
  <c r="U26" i="8"/>
  <c r="V26" i="8" s="1"/>
  <c r="T27" i="8"/>
  <c r="U27" i="8"/>
  <c r="T28" i="8"/>
  <c r="U28" i="8"/>
  <c r="T29" i="8"/>
  <c r="U29" i="8"/>
  <c r="T30" i="8"/>
  <c r="U30" i="8"/>
  <c r="V30" i="8" s="1"/>
  <c r="T31" i="8"/>
  <c r="U31" i="8"/>
  <c r="V31" i="8" s="1"/>
  <c r="T32" i="8"/>
  <c r="U32" i="8"/>
  <c r="T33" i="8"/>
  <c r="U33" i="8"/>
  <c r="T34" i="8"/>
  <c r="U34" i="8"/>
  <c r="V34" i="8" s="1"/>
  <c r="T35" i="8"/>
  <c r="U35" i="8"/>
  <c r="T36" i="8"/>
  <c r="U36" i="8"/>
  <c r="T37" i="8"/>
  <c r="U37" i="8"/>
  <c r="T38" i="8"/>
  <c r="U38" i="8"/>
  <c r="V38" i="8" s="1"/>
  <c r="T39" i="8"/>
  <c r="U39" i="8"/>
  <c r="V39" i="8" s="1"/>
  <c r="T40" i="8"/>
  <c r="U40" i="8"/>
  <c r="T41" i="8"/>
  <c r="U41" i="8"/>
  <c r="T42" i="8"/>
  <c r="U42" i="8"/>
  <c r="V42" i="8" s="1"/>
  <c r="T43" i="8"/>
  <c r="U43" i="8"/>
  <c r="T44" i="8"/>
  <c r="U44" i="8"/>
  <c r="T45" i="8"/>
  <c r="U45" i="8"/>
  <c r="T46" i="8"/>
  <c r="U46" i="8"/>
  <c r="V46" i="8" s="1"/>
  <c r="T47" i="8"/>
  <c r="U47" i="8"/>
  <c r="T48" i="8"/>
  <c r="U48" i="8"/>
  <c r="T49" i="8"/>
  <c r="U49" i="8"/>
  <c r="T50" i="8"/>
  <c r="U50" i="8"/>
  <c r="V50" i="8" s="1"/>
  <c r="T51" i="8"/>
  <c r="U51" i="8"/>
  <c r="T52" i="8"/>
  <c r="U52" i="8"/>
  <c r="T53" i="8"/>
  <c r="U53" i="8"/>
  <c r="T54" i="8"/>
  <c r="U54" i="8"/>
  <c r="V54" i="8" s="1"/>
  <c r="T55" i="8"/>
  <c r="U55" i="8"/>
  <c r="V55" i="8" s="1"/>
  <c r="T56" i="8"/>
  <c r="U56" i="8"/>
  <c r="T57" i="8"/>
  <c r="U57" i="8"/>
  <c r="T58" i="8"/>
  <c r="U58" i="8"/>
  <c r="V58" i="8" s="1"/>
  <c r="T59" i="8"/>
  <c r="U59" i="8"/>
  <c r="T60" i="8"/>
  <c r="U60" i="8"/>
  <c r="T61" i="8"/>
  <c r="U61" i="8"/>
  <c r="T62" i="8"/>
  <c r="U62" i="8"/>
  <c r="V62" i="8" s="1"/>
  <c r="T63" i="8"/>
  <c r="U63" i="8"/>
  <c r="V63" i="8" s="1"/>
  <c r="T64" i="8"/>
  <c r="U64" i="8"/>
  <c r="T65" i="8"/>
  <c r="U65" i="8"/>
  <c r="T66" i="8"/>
  <c r="U66" i="8"/>
  <c r="T67" i="8"/>
  <c r="U67" i="8"/>
  <c r="T68" i="8"/>
  <c r="U68" i="8"/>
  <c r="T69" i="8"/>
  <c r="U69" i="8"/>
  <c r="T70" i="8"/>
  <c r="U70" i="8"/>
  <c r="T71" i="8"/>
  <c r="U71" i="8"/>
  <c r="T72" i="8"/>
  <c r="U72" i="8"/>
  <c r="T73" i="8"/>
  <c r="U73" i="8"/>
  <c r="T74" i="8"/>
  <c r="U74" i="8"/>
  <c r="V74" i="8" s="1"/>
  <c r="T75" i="8"/>
  <c r="U75" i="8"/>
  <c r="V75" i="8" s="1"/>
  <c r="T76" i="8"/>
  <c r="U76" i="8"/>
  <c r="V76" i="8" s="1"/>
  <c r="T77" i="8"/>
  <c r="U77" i="8"/>
  <c r="T78" i="8"/>
  <c r="U78" i="8"/>
  <c r="V78" i="8" s="1"/>
  <c r="T79" i="8"/>
  <c r="U79" i="8"/>
  <c r="V79" i="8" s="1"/>
  <c r="T80" i="8"/>
  <c r="U80" i="8"/>
  <c r="T81" i="8"/>
  <c r="U81" i="8"/>
  <c r="T82" i="8"/>
  <c r="U82" i="8"/>
  <c r="T83" i="8"/>
  <c r="U83" i="8"/>
  <c r="V83" i="8" s="1"/>
  <c r="T84" i="8"/>
  <c r="U84" i="8"/>
  <c r="V84" i="8" s="1"/>
  <c r="T85" i="8"/>
  <c r="U85" i="8"/>
  <c r="T86" i="8"/>
  <c r="U86" i="8"/>
  <c r="V86" i="8" s="1"/>
  <c r="T87" i="8"/>
  <c r="U87" i="8"/>
  <c r="V87" i="8" s="1"/>
  <c r="T88" i="8"/>
  <c r="U88" i="8"/>
  <c r="T89" i="8"/>
  <c r="U89" i="8"/>
  <c r="T90" i="8"/>
  <c r="U90" i="8"/>
  <c r="T91" i="8"/>
  <c r="U91" i="8"/>
  <c r="V91" i="8" s="1"/>
  <c r="T92" i="8"/>
  <c r="U92" i="8"/>
  <c r="V92" i="8" s="1"/>
  <c r="T93" i="8"/>
  <c r="U93" i="8"/>
  <c r="T94" i="8"/>
  <c r="U94" i="8"/>
  <c r="T95" i="8"/>
  <c r="U95" i="8"/>
  <c r="T96" i="8"/>
  <c r="U96" i="8"/>
  <c r="T97" i="8"/>
  <c r="U97" i="8"/>
  <c r="T98" i="8"/>
  <c r="U98" i="8"/>
  <c r="V98" i="8" s="1"/>
  <c r="T99" i="8"/>
  <c r="U99" i="8"/>
  <c r="V99" i="8" s="1"/>
  <c r="T100" i="8"/>
  <c r="U100" i="8"/>
  <c r="V100" i="8" s="1"/>
  <c r="T101" i="8"/>
  <c r="U101" i="8"/>
  <c r="T102" i="8"/>
  <c r="U102" i="8"/>
  <c r="V102" i="8" s="1"/>
  <c r="T103" i="8"/>
  <c r="U103" i="8"/>
  <c r="V103" i="8" s="1"/>
  <c r="T104" i="8"/>
  <c r="U104" i="8"/>
  <c r="T105" i="8"/>
  <c r="U105" i="8"/>
  <c r="T106" i="8"/>
  <c r="U106" i="8"/>
  <c r="V106" i="8" s="1"/>
  <c r="T107" i="8"/>
  <c r="U107" i="8"/>
  <c r="T108" i="8"/>
  <c r="U108" i="8"/>
  <c r="V108" i="8" s="1"/>
  <c r="T109" i="8"/>
  <c r="U109" i="8"/>
  <c r="T110" i="8"/>
  <c r="U110" i="8"/>
  <c r="V110" i="8" s="1"/>
  <c r="T111" i="8"/>
  <c r="U111" i="8"/>
  <c r="V111" i="8" s="1"/>
  <c r="U2" i="8"/>
  <c r="T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2" i="8"/>
  <c r="L3" i="11" l="1"/>
  <c r="V109" i="8"/>
  <c r="V101" i="8"/>
  <c r="V85" i="8"/>
  <c r="V77" i="8"/>
  <c r="V61" i="8"/>
  <c r="V53" i="8"/>
  <c r="V37" i="8"/>
  <c r="V29" i="8"/>
  <c r="V104" i="8"/>
  <c r="V96" i="8"/>
  <c r="V72" i="8"/>
  <c r="V64" i="8"/>
  <c r="V48" i="8"/>
  <c r="V60" i="8"/>
  <c r="V56" i="8"/>
  <c r="V52" i="8"/>
  <c r="V44" i="8"/>
  <c r="V40" i="8"/>
  <c r="V36" i="8"/>
  <c r="V32" i="8"/>
  <c r="V28" i="8"/>
  <c r="V24" i="8"/>
  <c r="V16" i="8"/>
  <c r="V21" i="8"/>
  <c r="V13" i="8"/>
  <c r="O6" i="8"/>
  <c r="V2" i="8"/>
  <c r="V5" i="8"/>
  <c r="V10" i="8"/>
  <c r="V105" i="8"/>
  <c r="V97" i="8"/>
  <c r="V89" i="8"/>
  <c r="V73" i="8"/>
  <c r="V57" i="8"/>
  <c r="V49" i="8"/>
  <c r="V41" i="8"/>
  <c r="V33" i="8"/>
  <c r="V25" i="8"/>
  <c r="V17" i="8"/>
  <c r="V9" i="8"/>
  <c r="O55" i="8"/>
  <c r="O7" i="8"/>
  <c r="V59" i="8"/>
  <c r="V51" i="8"/>
  <c r="V43" i="8"/>
  <c r="V35" i="8"/>
  <c r="V27" i="8"/>
  <c r="V19" i="8"/>
  <c r="V11" i="8"/>
  <c r="V3" i="8"/>
  <c r="O101" i="8"/>
  <c r="O21" i="8"/>
  <c r="O61" i="8"/>
  <c r="O100" i="8"/>
  <c r="O84" i="8"/>
  <c r="O68" i="8"/>
  <c r="O52" i="8"/>
  <c r="O36" i="8"/>
  <c r="O20" i="8"/>
  <c r="O99" i="8"/>
  <c r="O83" i="8"/>
  <c r="O67" i="8"/>
  <c r="O51" i="8"/>
  <c r="O35" i="8"/>
  <c r="O3" i="8"/>
  <c r="O14" i="8"/>
  <c r="O4" i="8"/>
  <c r="O81" i="8"/>
  <c r="O33" i="8"/>
  <c r="O80" i="8"/>
  <c r="O48" i="8"/>
  <c r="O32" i="8"/>
  <c r="O16" i="8"/>
  <c r="O110" i="8"/>
  <c r="O62" i="8"/>
  <c r="O46" i="8"/>
  <c r="O30" i="8"/>
  <c r="O97" i="8"/>
  <c r="O49" i="8"/>
  <c r="O2" i="8"/>
  <c r="O64" i="8"/>
  <c r="O107" i="8"/>
  <c r="O91" i="8"/>
  <c r="O59" i="8"/>
  <c r="O27" i="8"/>
  <c r="O11" i="8"/>
  <c r="O65" i="8"/>
  <c r="O96" i="8"/>
  <c r="O60" i="8"/>
  <c r="O79" i="8"/>
  <c r="O29" i="8"/>
  <c r="O13" i="8"/>
  <c r="O77" i="8"/>
  <c r="O108" i="8"/>
  <c r="O92" i="8"/>
  <c r="O76" i="8"/>
  <c r="O44" i="8"/>
  <c r="O28" i="8"/>
  <c r="O12" i="8"/>
  <c r="O86" i="8"/>
  <c r="O70" i="8"/>
  <c r="O54" i="8"/>
  <c r="O102" i="8"/>
  <c r="O85" i="8"/>
  <c r="O69" i="8"/>
  <c r="O53" i="8"/>
  <c r="O37" i="8"/>
  <c r="O5" i="8"/>
  <c r="O98" i="8"/>
  <c r="O82" i="8"/>
  <c r="O66" i="8"/>
  <c r="O50" i="8"/>
  <c r="O34" i="8"/>
  <c r="O18" i="8"/>
  <c r="O90" i="8"/>
  <c r="O105" i="8"/>
  <c r="O25" i="8"/>
  <c r="O9" i="8"/>
  <c r="O103" i="8"/>
  <c r="O71" i="8"/>
  <c r="O94" i="8"/>
  <c r="O106" i="8"/>
  <c r="O26" i="8"/>
  <c r="O57" i="8"/>
  <c r="O38" i="8"/>
  <c r="O75" i="8"/>
  <c r="O58" i="8"/>
  <c r="O73" i="8"/>
  <c r="O41" i="8"/>
  <c r="O43" i="8"/>
  <c r="O10" i="8"/>
  <c r="O78" i="8"/>
  <c r="O74" i="8"/>
  <c r="O42" i="8"/>
  <c r="O89" i="8"/>
  <c r="O19" i="8"/>
  <c r="O17" i="8"/>
  <c r="O39" i="8"/>
  <c r="O87" i="8"/>
  <c r="O23" i="8"/>
  <c r="O22" i="8"/>
  <c r="O111" i="8"/>
  <c r="O95" i="8"/>
  <c r="O63" i="8"/>
  <c r="O47" i="8"/>
  <c r="O31" i="8"/>
  <c r="O109" i="8"/>
  <c r="O93" i="8"/>
  <c r="O45" i="8"/>
  <c r="O104" i="8"/>
  <c r="O88" i="8"/>
  <c r="O72" i="8"/>
  <c r="O56" i="8"/>
  <c r="O40" i="8"/>
  <c r="O24" i="8"/>
  <c r="O8" i="8"/>
  <c r="O15" i="8"/>
</calcChain>
</file>

<file path=xl/sharedStrings.xml><?xml version="1.0" encoding="utf-8"?>
<sst xmlns="http://schemas.openxmlformats.org/spreadsheetml/2006/main" count="1070" uniqueCount="353">
  <si>
    <t>NOME_PAIS</t>
  </si>
  <si>
    <t>ABREV_PAIS</t>
  </si>
  <si>
    <t>ID_PAIS</t>
  </si>
  <si>
    <t>NOME_LIDER</t>
  </si>
  <si>
    <t>TITULO_LIDER</t>
  </si>
  <si>
    <t>Argentina</t>
  </si>
  <si>
    <t>ARG</t>
  </si>
  <si>
    <t>Néstor Carlos Kirchner Ostoic</t>
  </si>
  <si>
    <t>President</t>
  </si>
  <si>
    <t>Cristina Fernández de Kirchner</t>
  </si>
  <si>
    <t>Mauricio Macri</t>
  </si>
  <si>
    <t>Alberto Fernández</t>
  </si>
  <si>
    <t>Javier Gerardo Milei</t>
  </si>
  <si>
    <t>Bolivia</t>
  </si>
  <si>
    <t>BOL</t>
  </si>
  <si>
    <t>Gonzalo Sánchez de Lozada Sánchez Bustamante</t>
  </si>
  <si>
    <t>Enrique Eduardo Rodríguez Veltzé</t>
  </si>
  <si>
    <t>Juan Evo Morales Ayma</t>
  </si>
  <si>
    <t>President of the Plurinational State</t>
  </si>
  <si>
    <t>Jeanine Áñez Chávez</t>
  </si>
  <si>
    <t>Luis Alberto Arce Catacora</t>
  </si>
  <si>
    <t>Brazil</t>
  </si>
  <si>
    <t>BRA</t>
  </si>
  <si>
    <t>Luiz Inácio Lula da Silva</t>
  </si>
  <si>
    <t>Dilma Vana Rousseff</t>
  </si>
  <si>
    <t>Michel Miguel Elias Temer Lulia</t>
  </si>
  <si>
    <t>Jair Messias Bolsonaro</t>
  </si>
  <si>
    <t>Chile</t>
  </si>
  <si>
    <t>CHL</t>
  </si>
  <si>
    <t>Ricardo Froilán Lagos Escobar</t>
  </si>
  <si>
    <t>Verónica Michelle Bachelet Jeria</t>
  </si>
  <si>
    <t>Miguel Juan Sebastián Piñera Echenique</t>
  </si>
  <si>
    <t>Colombia</t>
  </si>
  <si>
    <t>COL</t>
  </si>
  <si>
    <t>Álvaro Uribe Vélez</t>
  </si>
  <si>
    <t>Juan Manuel Santos Calderón</t>
  </si>
  <si>
    <t>Iván Duque Márquez</t>
  </si>
  <si>
    <t>Gustavo Francisco Petro Urrego</t>
  </si>
  <si>
    <t>Costa Rica</t>
  </si>
  <si>
    <t>CRI</t>
  </si>
  <si>
    <t>Abel Pacheco de la Espriella</t>
  </si>
  <si>
    <t>Óscar Arias Sánchez</t>
  </si>
  <si>
    <t>Laura Chinchilla Miranda</t>
  </si>
  <si>
    <t>Luis Guillermo Solís Rivera</t>
  </si>
  <si>
    <t>Carlos Alvarado Quesada</t>
  </si>
  <si>
    <t>Rodrigo Chaves Robles</t>
  </si>
  <si>
    <t>Dominican Republic</t>
  </si>
  <si>
    <t>DOM</t>
  </si>
  <si>
    <t>Leonel Antonio Fernández Reyna</t>
  </si>
  <si>
    <t>Danilo Medina Sánchez</t>
  </si>
  <si>
    <t>Luis Rodolfo Abinader</t>
  </si>
  <si>
    <t>Ecuador</t>
  </si>
  <si>
    <t>ECU</t>
  </si>
  <si>
    <t>Gustavo José Joaquín Noboa Bejarano</t>
  </si>
  <si>
    <t>Luis Alfredo Palacio González</t>
  </si>
  <si>
    <t>Rafael Vicente Correa Delgado</t>
  </si>
  <si>
    <t>Lenín Boltaire Moreno Garcés</t>
  </si>
  <si>
    <t>Guillermo Alberto Santiago Lasso Mendoza</t>
  </si>
  <si>
    <t>Daniel Noboa</t>
  </si>
  <si>
    <t>El Salvador</t>
  </si>
  <si>
    <t>SLV</t>
  </si>
  <si>
    <t>Elías Antonio Saca González</t>
  </si>
  <si>
    <t>Carlos Mauricio Funes Cartagena</t>
  </si>
  <si>
    <t>Salvador Sánchez Cerén</t>
  </si>
  <si>
    <t>Nayib Armando Bukele Ortez</t>
  </si>
  <si>
    <t>Guatemala</t>
  </si>
  <si>
    <t>GTM</t>
  </si>
  <si>
    <t>Alfonso Antonio Portillo Cabrera</t>
  </si>
  <si>
    <t>Óscar José Rafael Berger Perdomo</t>
  </si>
  <si>
    <t>Álvaro Colom Caballeros</t>
  </si>
  <si>
    <t>Héctor Alejandro Baltazar Maldonado Aguirre</t>
  </si>
  <si>
    <t>Jimmy Ernesto Morales Cabrera</t>
  </si>
  <si>
    <t>Alejandro Eduardo Giammattei Falla</t>
  </si>
  <si>
    <t>Haiti</t>
  </si>
  <si>
    <t>HTI</t>
  </si>
  <si>
    <t>René Garcia Préval</t>
  </si>
  <si>
    <t>Michel Martelly</t>
  </si>
  <si>
    <t>Jocelerme Privert</t>
  </si>
  <si>
    <t>Honduras</t>
  </si>
  <si>
    <t>HND</t>
  </si>
  <si>
    <t>Ricardo Rodolfo Maduro Joest</t>
  </si>
  <si>
    <t>Roberto Micheletti Baín</t>
  </si>
  <si>
    <t>Porfirio Lobo Sosa</t>
  </si>
  <si>
    <t>Juan Orlando Hernández</t>
  </si>
  <si>
    <t>Mexico</t>
  </si>
  <si>
    <t>MEX</t>
  </si>
  <si>
    <t>Vicente Fox Quesada</t>
  </si>
  <si>
    <t>Felipe de Jesús Calderón Hinojosa</t>
  </si>
  <si>
    <t>Enrique Peña Nieto</t>
  </si>
  <si>
    <t>Andrés Manuel López Obrador</t>
  </si>
  <si>
    <t>Nicaragua</t>
  </si>
  <si>
    <t>NIC</t>
  </si>
  <si>
    <t>Enrique José Bolaños Geyer</t>
  </si>
  <si>
    <t>José Daniel Ortega Saavedra</t>
  </si>
  <si>
    <t>Panama</t>
  </si>
  <si>
    <t>PAN</t>
  </si>
  <si>
    <t>Martín Erasto Torrijos Espino</t>
  </si>
  <si>
    <t>Ricardo Martinelli Berrocal</t>
  </si>
  <si>
    <t>Juan Carlos Varela</t>
  </si>
  <si>
    <t>Laurentino Cortizo Cohen</t>
  </si>
  <si>
    <t>Paraguay</t>
  </si>
  <si>
    <t>PRY</t>
  </si>
  <si>
    <t>Óscar Nicanor Duarte Frutos</t>
  </si>
  <si>
    <t>Fernando Armindo Lugo Méndez</t>
  </si>
  <si>
    <t>Horacio Manuel Cartes Jara</t>
  </si>
  <si>
    <t>Mario Abdo Benítez</t>
  </si>
  <si>
    <t>Santiago Peña Palacios</t>
  </si>
  <si>
    <t>Peru</t>
  </si>
  <si>
    <t>PER</t>
  </si>
  <si>
    <t>Valentín Demetrio Paniagua Corazao</t>
  </si>
  <si>
    <t>Alejandro Celestino Toledo Manrique</t>
  </si>
  <si>
    <t>Alan Gabriel Ludwig García Pérez</t>
  </si>
  <si>
    <t>Ollanta Moisés Humala Tasso</t>
  </si>
  <si>
    <t>Pedro Pablo Kuczynski Goddard</t>
  </si>
  <si>
    <t>José Pedro Castillo Terrones</t>
  </si>
  <si>
    <t>Uruguay</t>
  </si>
  <si>
    <t>URY</t>
  </si>
  <si>
    <t>Jorge Luis Batlle Ibáñez</t>
  </si>
  <si>
    <t>Tabaré Ramón Vázquez Rosas</t>
  </si>
  <si>
    <t>José Alberto Mujica Cordano</t>
  </si>
  <si>
    <t>Venezuela</t>
  </si>
  <si>
    <t>VEN</t>
  </si>
  <si>
    <t>Hugo Rafael Chávez Frías</t>
  </si>
  <si>
    <t>Nicolás Maduro</t>
  </si>
  <si>
    <t>FONTE</t>
  </si>
  <si>
    <t>https://www.cfkargentina.com/discurso-de-asuncion-del-presidente-nestor-kirchner-a-la-asamblea-legislativa-el-25-de-mayo-del-2003/</t>
  </si>
  <si>
    <t>https://www.casarosada.gob.ar/informacion/archivo/16462-blank-35472369</t>
  </si>
  <si>
    <t>https://www.casarosada.gob.ar/informacion/archivo/25601-acto-de-asuncion-de-mando-en-el-congreso-de-la-nacion-discurso-de-la-presidenta-de-la-nacion</t>
  </si>
  <si>
    <t>https://www.casarosada.gob.ar/informacion/discursos/35023-palabras-del-presidente-de-la-nacion-mauricio-macri-ante-la-asamblea-legislativa-en-el-congreso-de-la-nacion</t>
  </si>
  <si>
    <t>https://www.casarosada.gob.ar/informacion/discursos/46596-palabras-del-presidente-alberto-fernandez-en-su-acto-de-asuncion-ante-la-asamblea-legislativa</t>
  </si>
  <si>
    <t>https://www3.hcdn.gob.ar/dependencias/prensa/archivos/discursoasuncionmilei.pdf</t>
  </si>
  <si>
    <t>https://reliefweb.int/report/bolivia/discurso-de-eduardo-rodriguez-veltze-tras-su-posesion-como-presidente-constitucional</t>
  </si>
  <si>
    <t>https://www.biblioteca.presidencia.gov.br/presidencia/ex-presidentes/luiz-inacio-lula-da-silva/discursos/1o-mandato/2003/01-01-pronunciamento-a-nacao-do-presidente-da-republica-luiz-inacio-lula-da-silva-apos-a-cerimonia-de-posse.pdf/view</t>
  </si>
  <si>
    <t>NOME_ARQUIVO_ORIGINAL</t>
  </si>
  <si>
    <t>PRIMEIRO_ANO_MANDATO</t>
  </si>
  <si>
    <t>LINGUA_ORIGINAL</t>
  </si>
  <si>
    <t>ESPANHOL</t>
  </si>
  <si>
    <t>PORTUGUES</t>
  </si>
  <si>
    <t>https://www.biblioteca.presidencia.gov.br/presidencia/ex-presidentes/luiz-inacio-lula-da-silva/discursos/2o-mandato/2007/01-01-2007-pronunciamento-a-nacao-do-presidente-da-republica-luiz-inacio-lula-da-silva-na-cerimonia-de-posse/view</t>
  </si>
  <si>
    <t>BRA_LUIZ_INACIO_1.txt</t>
  </si>
  <si>
    <t>BRA_LUIZ_INACIO_2.txt</t>
  </si>
  <si>
    <t>https://www.biblioteca.presidencia.gov.br/presidencia/ex-presidentes/dilma-rousseff/discursos/discursos-da-presidenta/discurso-da-presidenta-da-republica-dilma-rousseff-durante-compromisso-constitucional-perante-o-congresso-nacional</t>
  </si>
  <si>
    <t>BRA_DILMA_ROUSSEFF_1.txt</t>
  </si>
  <si>
    <t>https://www.biblioteca.presidencia.gov.br/presidencia/ex-presidentes/dilma-rousseff/discursos/discursos-da-presidenta/discurso-da-presidenta-da-republica-dilma-rousseff-durante-compromisso-constitucional-perante-o-congresso-nacional-1</t>
  </si>
  <si>
    <t>https://www.biblioteca.presidencia.gov.br/presidencia/ex-presidentes/michel-temer/discursos-do-presidente-da-republica/discurso-do-presidente-da-republica-michel-temer-durante-cerimonia-de-posse-dos-novos-ministros-de-estado-palacio-do-planalto</t>
  </si>
  <si>
    <t>BRA_MICHEL_TEMER_1.txt</t>
  </si>
  <si>
    <t>BRA_JAIR_BOLSONARO_1.txt</t>
  </si>
  <si>
    <t>https://www.biblioteca.presidencia.gov.br/presidencia/ex-presidentes/bolsonaro/discursos/discurso-do-presidente-da-republica-jair-bolsonaro-durante-cerimonia-de-posse-no-congresso-nacional</t>
  </si>
  <si>
    <t>Gabriel Boric Font</t>
  </si>
  <si>
    <t>https://prensa.presidencia.cl/discurso.aspx?id=188237</t>
  </si>
  <si>
    <t>CHL_GABRIEL_BORIC_1.txt</t>
  </si>
  <si>
    <t>https://prensa.presidencia.cl/comunicado.aspx?id=71719</t>
  </si>
  <si>
    <t>CHL_MIGUEL_PINERA_2.txt</t>
  </si>
  <si>
    <t>https://www.sebastianpinera.cl/wp-content/uploads/2019/04/Discursos-Escogidos.pdf</t>
  </si>
  <si>
    <t>CHL_MIGUEL_PINERA_1.txt</t>
  </si>
  <si>
    <t>CHL_MICHELLE_BACHELET_2.txt</t>
  </si>
  <si>
    <t>http://archivospresidenciales.archivonacional.cl/uploads/r/archivo-presidencia-de-la-republica/7/7/2/7724c3bd16acde7ebf444dc450d38992669efbe55fdc18d8dd03586b4b46c120/_home_aristoteles_documentos_DIS_0001.pdf</t>
  </si>
  <si>
    <t>CHL_RICARDO_LAGOS_1.txt</t>
  </si>
  <si>
    <t>https://www.youtube.com/watch?v=GPlyPQGiwYU</t>
  </si>
  <si>
    <t>ACESSO_EM</t>
  </si>
  <si>
    <t>https://www.youtube.com/watch?v=O1K3_wrPc_A</t>
  </si>
  <si>
    <t>CHL_MICHELLE_BACHELET_1.txt</t>
  </si>
  <si>
    <t>https://www.laondadigital.com.uy/archivos/48126</t>
  </si>
  <si>
    <t>BOL_LUIS_ARCE_1.txt</t>
  </si>
  <si>
    <t>https://embolnic.com/2019/11/15/discurso-de-la-ministra-de-relaciones-exteriores-en-la-posesion-de-los-ministros-de-s-e-la-presidenta-constitucional-del-estado-plurinacional-de-bolivia-jeanine-anez-chavez/</t>
  </si>
  <si>
    <t>BOL_JEANINE_CHAVEZ_1.txt</t>
  </si>
  <si>
    <t>https://www.pagina12.com.ar/diario/especiales/18-62330-2006-01-30.html</t>
  </si>
  <si>
    <t>BOL_EVO_MORALES_1.txt</t>
  </si>
  <si>
    <t>https://www.legadouribe.com/wp-content/uploads/2020/06/discurso-1.pdf</t>
  </si>
  <si>
    <t>COL_ALVARO_URIBE_1.txt</t>
  </si>
  <si>
    <t>https://www.legadouribe.com/wp-content/uploads/2020/06/Discurso-21.pdf</t>
  </si>
  <si>
    <t>COL_ALVARO_URIBE_2.txt</t>
  </si>
  <si>
    <t>COL_JUAN_CALDERON_1.txt</t>
  </si>
  <si>
    <t>https://bapp.com.co/archivos/1.03.0220.pdf</t>
  </si>
  <si>
    <t>https://bapp.com.co/archivos/1.03.1261.pdf</t>
  </si>
  <si>
    <t>COL_JUAN_CALDERON_2.txt</t>
  </si>
  <si>
    <t>COL_IVAN_MARQUEZ_1.txt</t>
  </si>
  <si>
    <t>https://rtvc-assets-radionacional-v2.s3.amazonaws.com/s3fs-public/descargables/discurso_del_presidente_duque_7_ago_18.pdf</t>
  </si>
  <si>
    <t>COL_GUSTAVO_PETRO_1.txt</t>
  </si>
  <si>
    <t>https://www.cancilleria.gov.co/newsroom/news/palabras-presidente-republica-gustavo-petro-urrego-tomar-posesion-jefe-estado</t>
  </si>
  <si>
    <t>CRI_RODRIGO_ROBLES_1.txt</t>
  </si>
  <si>
    <t>https://delfino.cr/2022/05/este-es-nuestro-tiempo-discurso-de-investidura-del-presidente-rodrigo-chaves-robles</t>
  </si>
  <si>
    <t>CRI_CALOS_QUESADA_1.txt</t>
  </si>
  <si>
    <t>https://www.asamblea.go.cr/sd/Mensajes%20Presidenciales/Discurso%20Toma%20Posesi%C3%B3n%202018%20C.%20Alvarado%20Quesada.pdf</t>
  </si>
  <si>
    <t>CRI_LUIS_SOLIS_1.txt</t>
  </si>
  <si>
    <t>https://cambiopolitico.com/discurso-toma-de-posesion-luis-guillermo-solis/54625/</t>
  </si>
  <si>
    <t>https://oscararias.cr/sitioweb/escojo-la-vida-la-democracia-y-el-desafio-de-cambiar-en-paz/</t>
  </si>
  <si>
    <t>CRI_OSCAR_ARIAS_1.txt</t>
  </si>
  <si>
    <t>IDENTIFICADOR</t>
  </si>
  <si>
    <t>Rafael Hipólito Mejía Domínguez</t>
  </si>
  <si>
    <t>https://www.opd.org.do/images/PDF_ARTICULOS/Partidos_politicos/Discursos_presidenciales/Discurso-del-Excelentisimo-se%C3%B1or-Presidente-de-la-Republica-Hipolito-Mejia-en-ocasion-de-su-juramentacion-ante-el-Congreso-Nacional-como-Presidente.pdf</t>
  </si>
  <si>
    <t>DOM_HIPOLITO_MEJIA_1.txt</t>
  </si>
  <si>
    <t>https://www.opd.org.do/images/PDF_ARTICULOS/Partidos_politicos/Discursos_presidenciales/Discurso-del-presidente-Leonel-Fernandez-con-motivo-de-la-no-reeleccion-como-candidato-presidencial.pdf</t>
  </si>
  <si>
    <t>DOM_LEONEL_FERNANDEZ_2.txt</t>
  </si>
  <si>
    <t>https://www.opd.org.do/images/PDF_ARTICULOS/Partidos_politicos/Discursos_presidenciales/discurso-de-toma-de-posesion-del-excelentisimo-senor-presidente-de-la-republica-dominicana-lic-danilo-medina-sanchez.pdf</t>
  </si>
  <si>
    <t>DOM_MEDINA_SANCHEZ_1.txt</t>
  </si>
  <si>
    <t>DOM_LEONEL_FERNANDEZ_1.txt</t>
  </si>
  <si>
    <t>https://opac.pucmm.edu.do/virtuales/html/dominicanos2/leonel/discursotoma.pdf</t>
  </si>
  <si>
    <t>DOM_MEDINA_SANCHEZ_2.txt</t>
  </si>
  <si>
    <t>https://gobiernodanilomedina.do/discurso/discurso-de-juramentacion-del-presidente-danilo-medina-agosto-2016</t>
  </si>
  <si>
    <t>DOM_LUIS_ABINADER_1.txt</t>
  </si>
  <si>
    <t>https://presidencia.gob.do/discursos/discurso-del-presidente-luis-abinader-en-el-acto-de-toma-de-posesion-ante-la-asamblea</t>
  </si>
  <si>
    <t>ECU_RAFAEL_CORREA_1.txt</t>
  </si>
  <si>
    <t>https://www.presidencia.gob.ec/wp-content/uploads/downloads/2015/07/Posesion-Presidente-2007.pdf</t>
  </si>
  <si>
    <t>ECU_RAFAEL_CORREA_2.txt</t>
  </si>
  <si>
    <t>https://www.presidencia.gob.ec/wp-content/uploads/downloads/2013/10/10-10-09-Discurso_posesion_Presidencial.pdf</t>
  </si>
  <si>
    <t>https://www.youtube.com/watch?v=N0X9rDrO0ik</t>
  </si>
  <si>
    <t>ECU_RAFAEL_CORREA_3.txt</t>
  </si>
  <si>
    <t>https://www.presidencia.gob.ec/wp-content/uploads/downloads/2017/06/2017.05.24-DISCURSO-POSESI%C3%93N-ANTE-LA-ASAMBLEA-NACIONAL.pdf</t>
  </si>
  <si>
    <t>ECU_LENIN_MORENO_1.txt</t>
  </si>
  <si>
    <t>https://www.presidencia.gob.ec/wp-content/uploads/downloads/2021/05/2021.05.24-POSESION-PRESIDENTE-LASSO.pdf</t>
  </si>
  <si>
    <t>ECU_GUILHERME_LASSO_1.txt</t>
  </si>
  <si>
    <t>ECU_DANIEL_NOBOA_1.txt</t>
  </si>
  <si>
    <t>https://www.presidencia.gob.ec/wp-content/uploads/downloads/2023/11/2023.11.23-POSESION-PRESIDENTE-DANIEL-NOBOA.pdf</t>
  </si>
  <si>
    <t>http://luiseduardoaguilarvasquez.blogspot.com/2016/05/discurso-toma-de-posesion-presidente-de.html</t>
  </si>
  <si>
    <t>SLV_ANTONIO_SACA_1.txt</t>
  </si>
  <si>
    <t>SLV_MAURICIO_FUNES_1.txt</t>
  </si>
  <si>
    <t>http://especiales.laprensagrafica.com/2011/funes2doaniversario/wp-content/uploads/2011/05/1-Toma-de-posesi%C3%B3n-presidente-Funes.pdf</t>
  </si>
  <si>
    <t>https://www.presidencia.gob.sv/wp-content/uploads/2020/09/Toma-de-posesi%C3%B3n-01-06-2019-1.pdf</t>
  </si>
  <si>
    <t>SLV_NAYIB_BUKELE_1.txt</t>
  </si>
  <si>
    <t>https://www.plazapublica.com.gt/sites/default/files/2000_alfonso_portillo.pdf</t>
  </si>
  <si>
    <t>GTM_ALFONSO_PORTILLO_1.txt</t>
  </si>
  <si>
    <t>https://www.plazapublica.com.gt/sites/default/files/2004_oscar_berger.pdf</t>
  </si>
  <si>
    <t>GTM_OSCAR_BERGER_1.txt</t>
  </si>
  <si>
    <t>https://www.plazapublica.com.gt/sites/default/files/2008_alvaro_colom.pdf</t>
  </si>
  <si>
    <t>GTM_ALVARO_COLOM_1.txt</t>
  </si>
  <si>
    <t>Otto Fernando Pérez Molina</t>
  </si>
  <si>
    <t>https://www.plazapublica.com.gt/sites/default/files/2012_otto_perez.pdf</t>
  </si>
  <si>
    <t>GTM_OTTO_PEREZ_1.txt</t>
  </si>
  <si>
    <t>https://www.plazapublica.com.gt/sites/default/files/2015_alejandro_maldonado.pdf</t>
  </si>
  <si>
    <t>GTM_ALEJANDRO_MALDONADO_1.txt</t>
  </si>
  <si>
    <t>GTM_JIMMY_MORALES_1.txt</t>
  </si>
  <si>
    <t>https://www.plazapublica.com.gt/sites/default/files/2016_jimmy_morales.pdf</t>
  </si>
  <si>
    <t>https://www.plazapublica.com.gt/sites/default/files/2020_alejandro_giammattei.pdf</t>
  </si>
  <si>
    <t>GTM_ALEJANDRO_GIAMMATTEI_1.txt</t>
  </si>
  <si>
    <t>José Manuel Zelaya Rosales</t>
  </si>
  <si>
    <t>Iris Xiomara Castro Sarmiento</t>
  </si>
  <si>
    <t>https://sedesol.gob.hn/discurso-de-toma-de-posesion-de-la-presidenta-xiomara-castro/</t>
  </si>
  <si>
    <t>HND_XIOMARA_CASTRO_1.txt</t>
  </si>
  <si>
    <t>HND_JUAN_HERNANDEZ_2.txt</t>
  </si>
  <si>
    <t>https://www.youtube.com/watch?v=74W23vgXTkk</t>
  </si>
  <si>
    <t>HND_JUAN_HERNANDEZ_1.txt</t>
  </si>
  <si>
    <t>https://www.youtube.com/watch?v=RjQYExlBvsQ</t>
  </si>
  <si>
    <t>https://www.memoriapoliticademexico.org/Textos/7CRumbo/2000DVF.html</t>
  </si>
  <si>
    <t>MEX_VINCENTE_QUESADA_1.txt</t>
  </si>
  <si>
    <t>MEX_FELIPE_HINOJOSA_1.txt</t>
  </si>
  <si>
    <t>https://repositorioinstitucional.buap.mx/items/589303e1-176a-403f-b115-a5df41f857f8</t>
  </si>
  <si>
    <t>MEX_ENRIQUE_NIETO_1.txt</t>
  </si>
  <si>
    <t>https://www.excelsior.com.mx/2012/12/01/nacional/872692</t>
  </si>
  <si>
    <t>https://expansion.mx/nacional/2018/12/01/discurso-integro-de-lopez-obrador-como-presidente</t>
  </si>
  <si>
    <t>MEX_ANDRES_OBRADOR_1.txt</t>
  </si>
  <si>
    <t>NIC_ENRIQUE_BOLANOS_1.txt</t>
  </si>
  <si>
    <t>https://sajurin.enriquebolanos.org/docs/Mensaje%20Inaugural%20de%20Toma%20de%20Posesion%20-%2010%20Ene%2002.pdf</t>
  </si>
  <si>
    <t>NIC_DANIEL_ORTEGA_4.txt</t>
  </si>
  <si>
    <t>https://ipnicaragua.com/discurso-daniel-ortega-toma-posesion-2022/</t>
  </si>
  <si>
    <t>PAN_LAURENTINO_COHEN_1.txt</t>
  </si>
  <si>
    <t>https://noticiasdepanama.com/gobierno/discurso-completo-del-presidente-de-panama-laurentino-nito-cortizo/</t>
  </si>
  <si>
    <t>PAN_JUAN_VARELA_1.txt</t>
  </si>
  <si>
    <t>http://tabulario.s3.amazonaws.com/Data/Presidencia%20de%20la%20Rep%C3%BAblica/Discurso%20de%20Toma%20de%20Posesi%C3%B3n%20de%20Juan%20Carlos%20Varela%20(2014).pdf</t>
  </si>
  <si>
    <t>PAN_RICARDO_MARTINELLI_1.txt</t>
  </si>
  <si>
    <t>http://william_h_ormsbee.tripod.com/pan_pres_martinelli_sp-inaug_sp.htm</t>
  </si>
  <si>
    <t>PAN_MARTIN_TORRIJOS_1.txt</t>
  </si>
  <si>
    <t>https://www.voltairenet.org/article122027.html</t>
  </si>
  <si>
    <t>PRY_SANTIAGO_PENA_1.txt</t>
  </si>
  <si>
    <t>https://www.abc.com.py/politica/2023/08/15/santiago-pena-su-primer-discurso-completo-como-presidente-de-la-republica/</t>
  </si>
  <si>
    <t>PRY_MARIO_BENITEZ_1.txt</t>
  </si>
  <si>
    <t>https://www.lanacion.com.py/politica/2018/08/15/discurso-completo-de-mario-abdo-benitez-al-inaugurar-su-gobierno/</t>
  </si>
  <si>
    <t>PRY_FERNANDO_LUGO_1.txt</t>
  </si>
  <si>
    <t>https://www.parlamentomercosur.org/innovaportal/file/542/1/discruso-fernando-lugo.pdf</t>
  </si>
  <si>
    <t>PER_OLLANTA_HUMALA_1.txt</t>
  </si>
  <si>
    <t>http://portal.andina.pe/edpespeciales/2011/Mensaje_Nacion.pdf</t>
  </si>
  <si>
    <t>PER_PEDRO_KUCZYNSKI_1.txt</t>
  </si>
  <si>
    <t>https://www.youtube.com/watch?v=UTc6FdqEeY0</t>
  </si>
  <si>
    <t>Martín Alberto Vizcarra Cornejo</t>
  </si>
  <si>
    <t xml:space="preserve">Francisco Rafael Sagasti Hochhausler </t>
  </si>
  <si>
    <t>Dina Ercilia Boluarte Zegarra</t>
  </si>
  <si>
    <t>PER_MARTIN_VIZCARRA_1.txt</t>
  </si>
  <si>
    <t>https://www.gob.pe/institucion/presidencia/noticias/19344-mensaje-a-la-nacion-del-presidente-de-la-republica-martin-vizcarra-cornejo</t>
  </si>
  <si>
    <t>PER_FRANCISCO_SAGASTI_1.txt</t>
  </si>
  <si>
    <t>https://www.youtube.com/watch?v=Gn0-RNdTSLE</t>
  </si>
  <si>
    <t>PER_PEDRO_CASTILLO_1.txt</t>
  </si>
  <si>
    <t>https://cdn.www.gob.pe/uploads/document/file/2049663/Mensaje_a_la_nacion_presidente_Pedro_Castillo.pdf.pdf</t>
  </si>
  <si>
    <t>https://cdn.www.gob.pe/uploads/document/file/3920947/MENSAJE%20A%20LA%20NACI%C3%93N%20DE%20LA%20PRESIDENTA%20D%20ELA%20REP%C3%9ABLICA%20DINA%20BOLUARTE.pdf.pdf</t>
  </si>
  <si>
    <t>PER_DINA_BOLUARTE_1.txt</t>
  </si>
  <si>
    <t>URY_JORGE_BATLLE_1.txt</t>
  </si>
  <si>
    <t>https://parlamento.gub.uy/documentosyleyes/discursos/presidentes-rou/2000/97998</t>
  </si>
  <si>
    <t>URY_TABARE_VAZQUEZ_1.txt</t>
  </si>
  <si>
    <t>https://parlamento.gub.uy/documentosyleyes/discursos/presidentes-rou/2005/97997</t>
  </si>
  <si>
    <t>URY_JOSE_MUJICA_1.txt</t>
  </si>
  <si>
    <t>https://parlamento.gub.uy/documentosyleyes/discursos/presidentes-rou/2010/97996</t>
  </si>
  <si>
    <t>Luis Alberto Aparicio Alejandro Lacalle Pou</t>
  </si>
  <si>
    <t>https://parlamento.gub.uy/documentosyleyes/discursos/presidentes-rou/2015/97995</t>
  </si>
  <si>
    <t>URY_TABARE_VAZQUEZ_2.txt</t>
  </si>
  <si>
    <t>URY_LACALLE_POU_1.txt</t>
  </si>
  <si>
    <t>https://parlamento.gub.uy/documentosyleyes/discursos/presidentes-rou/2020/680648</t>
  </si>
  <si>
    <t>https://www.youtube.com/watch?v=uykDB62fI7c</t>
  </si>
  <si>
    <t>ARG_NESTOR_KIRCHNER_1.txt</t>
  </si>
  <si>
    <t>ARG_CRISTINA_KIRCHNER_1.txt</t>
  </si>
  <si>
    <t>ARG_MAURICIO_MACRI_1.txt</t>
  </si>
  <si>
    <t>ARG_CRISTINA_KIRCHNER_2.txt</t>
  </si>
  <si>
    <t>ARG_ALBERTO_FERNANDEZ_1.txt</t>
  </si>
  <si>
    <t>ARG_JAVIER_MILEI_1.txt</t>
  </si>
  <si>
    <t>BOL_ENRIQUE_VELTZE_1.txt</t>
  </si>
  <si>
    <t>BRA_DILMA_ROUSSEFF_2.txt</t>
  </si>
  <si>
    <t>Lucio Edwin Gutiérrez Borbúa</t>
  </si>
  <si>
    <t>FLAG_POPULISMO_KM2020</t>
  </si>
  <si>
    <t>FLAG_POPULISMO_MS2021</t>
  </si>
  <si>
    <t>FLAG_POPULISMO_GPD2022</t>
  </si>
  <si>
    <t>FLAG_POPULISMO_FST2022</t>
  </si>
  <si>
    <t>QTD_OBS_VALIDA</t>
  </si>
  <si>
    <t>PONTUACAO_VALIDA</t>
  </si>
  <si>
    <t>FLAG_POPULISMO_FINAL</t>
  </si>
  <si>
    <t>FLAG_POPULISMO_ED2019</t>
  </si>
  <si>
    <t>BOL_EVO_MORALES_2.txt</t>
  </si>
  <si>
    <t>BOL_EVO_MORALES_3.txt</t>
  </si>
  <si>
    <t>https://www.somossur.net/documentos/II_22012015_EVOMORALES_POSESION_ASAMBLEALEGISLATIVA.pdf</t>
  </si>
  <si>
    <t>https://www.youtube.com/watch?v=b6BpJz2XDIY</t>
  </si>
  <si>
    <t>CRI_LAURA_CHINCHILLA_1.txt</t>
  </si>
  <si>
    <t>https://www.asamblea.go.cr/DYD/Fracci%C3%B3n_Liberaci%C3%B3n/Boletn%20La%20Voz%20Liberacionista/MAYO2010/discurso%20toma%20posesion.pdf</t>
  </si>
  <si>
    <t>https://www.youtube.com/watch?v=iU14sNymdZA</t>
  </si>
  <si>
    <t>ECU_LUCIO_GUTIERREZ_1.txt</t>
  </si>
  <si>
    <t>http://www.llacta.org/organiz/coms/com232.htm</t>
  </si>
  <si>
    <t>SLV_SALVADOR_CEREN_1.txt</t>
  </si>
  <si>
    <t>https://www.youtube.com/watch?v=8tjYfNYpZlQ</t>
  </si>
  <si>
    <t>VEN_HUGO_CHAVEZ_2.txt</t>
  </si>
  <si>
    <t>VEN_HUGO_CHAVEZ_3.txt</t>
  </si>
  <si>
    <t>https://www.youtube.com/watch?v=Zw5tAu18k_A</t>
  </si>
  <si>
    <t>VEN_NICOLAS_MADURO_1.txt</t>
  </si>
  <si>
    <t>https://www.youtube.com/watch?v=uL6Z_TBH7bo</t>
  </si>
  <si>
    <t>VEN_NICOLAS_MADURO_2.txt</t>
  </si>
  <si>
    <t>https://www.youtube.com/watch?v=5l62HSe7MqQ</t>
  </si>
  <si>
    <t>CRI_ABEL_PACHECO_1.txt</t>
  </si>
  <si>
    <t>Presidente</t>
  </si>
  <si>
    <t>Ano Discurso</t>
  </si>
  <si>
    <t>País</t>
  </si>
  <si>
    <t>Funke, Shularick &amp; Trebesch (2022)</t>
  </si>
  <si>
    <t>Kyle &amp; Meyer (2020)</t>
  </si>
  <si>
    <t>Magud &amp; Spilimbergo (2021)</t>
  </si>
  <si>
    <t>Hawkins et al. (2022)</t>
  </si>
  <si>
    <t>Edwards (2019)</t>
  </si>
  <si>
    <t>Brasil</t>
  </si>
  <si>
    <t>Bolívia</t>
  </si>
  <si>
    <t>Colômbia</t>
  </si>
  <si>
    <t>República Dominicana</t>
  </si>
  <si>
    <t>Equador</t>
  </si>
  <si>
    <t>México</t>
  </si>
  <si>
    <t>Panamá</t>
  </si>
  <si>
    <t>Paraguai</t>
  </si>
  <si>
    <t>Uruguai</t>
  </si>
  <si>
    <t>PRIMEIRO_NOME</t>
  </si>
  <si>
    <t>ULTIMO_NOME</t>
  </si>
  <si>
    <t>REFERENCIA</t>
  </si>
  <si>
    <t>Flag Populismo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</si>
</sst>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&quot;de&quot;\ mmmm\ &quot;de&quot;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51B5-1BC1-4DFF-893E-BB7A57C52108}">
  <dimension ref="A1:V111"/>
  <sheetViews>
    <sheetView topLeftCell="J1" workbookViewId="0">
      <selection activeCell="M1" sqref="M1:O1"/>
    </sheetView>
  </sheetViews>
  <sheetFormatPr defaultColWidth="26.7265625" defaultRowHeight="14.5" x14ac:dyDescent="0.35"/>
  <cols>
    <col min="2" max="4" width="26.7265625" customWidth="1"/>
    <col min="6" max="6" width="45.1796875" bestFit="1" customWidth="1"/>
    <col min="7" max="7" width="32" bestFit="1" customWidth="1"/>
    <col min="8" max="10" width="26.7265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188</v>
      </c>
      <c r="E1" t="s">
        <v>134</v>
      </c>
      <c r="F1" t="s">
        <v>3</v>
      </c>
      <c r="G1" t="s">
        <v>4</v>
      </c>
      <c r="H1" t="s">
        <v>308</v>
      </c>
      <c r="I1" t="s">
        <v>305</v>
      </c>
      <c r="J1" t="s">
        <v>306</v>
      </c>
      <c r="K1" t="s">
        <v>307</v>
      </c>
      <c r="L1" t="s">
        <v>312</v>
      </c>
      <c r="M1" t="s">
        <v>309</v>
      </c>
      <c r="N1" t="s">
        <v>310</v>
      </c>
      <c r="O1" t="s">
        <v>311</v>
      </c>
      <c r="P1" t="s">
        <v>159</v>
      </c>
      <c r="Q1" t="s">
        <v>135</v>
      </c>
      <c r="R1" t="s">
        <v>124</v>
      </c>
      <c r="S1" t="s">
        <v>133</v>
      </c>
      <c r="T1" t="s">
        <v>349</v>
      </c>
      <c r="U1" t="s">
        <v>350</v>
      </c>
      <c r="V1" t="s">
        <v>351</v>
      </c>
    </row>
    <row r="2" spans="1:22" x14ac:dyDescent="0.35">
      <c r="A2" t="s">
        <v>5</v>
      </c>
      <c r="B2" t="s">
        <v>6</v>
      </c>
      <c r="C2">
        <v>37</v>
      </c>
      <c r="D2">
        <v>1</v>
      </c>
      <c r="E2">
        <v>2003</v>
      </c>
      <c r="F2" t="s">
        <v>7</v>
      </c>
      <c r="G2" t="s">
        <v>8</v>
      </c>
      <c r="H2">
        <v>1</v>
      </c>
      <c r="I2">
        <v>1</v>
      </c>
      <c r="J2">
        <v>1</v>
      </c>
      <c r="K2">
        <v>0</v>
      </c>
      <c r="L2">
        <v>1</v>
      </c>
      <c r="M2">
        <f>COUNTIF(H2:L2,"&lt;&gt;9")</f>
        <v>5</v>
      </c>
      <c r="N2">
        <f>SUMIF(H2:L2,"&lt;&gt;9")</f>
        <v>4</v>
      </c>
      <c r="O2">
        <f>IFERROR(ROUND(N2/M2,0),9)</f>
        <v>1</v>
      </c>
      <c r="P2" s="3">
        <v>45633</v>
      </c>
      <c r="Q2" t="s">
        <v>136</v>
      </c>
      <c r="R2" t="s">
        <v>125</v>
      </c>
      <c r="S2" t="s">
        <v>296</v>
      </c>
      <c r="T2" t="str">
        <f>_xlfn.TEXTBEFORE(F2," ")</f>
        <v>Néstor</v>
      </c>
      <c r="U2" t="str">
        <f>_xlfn.TEXTAFTER(F2," ",LEN(F2)-LEN(SUBSTITUTE(F2," ","")))</f>
        <v>Ostoic</v>
      </c>
      <c r="V2" t="str">
        <f>IF(Q2="","",_xlfn.CONCAT(UPPER(U2),", ",T2,". Disponível em &lt;",R2,"&gt;. Acesso em ",TEXT(P2,"dd ""de"" mmmm ""de"" aaaa"),"."))</f>
        <v>OSTOIC, Néstor. Disponível em &lt;https://www.cfkargentina.com/discurso-de-asuncion-del-presidente-nestor-kirchner-a-la-asamblea-legislativa-el-25-de-mayo-del-2003/&gt;. Acesso em 07 de dezembro de 2024.</v>
      </c>
    </row>
    <row r="3" spans="1:22" x14ac:dyDescent="0.35">
      <c r="A3" t="s">
        <v>5</v>
      </c>
      <c r="B3" t="s">
        <v>6</v>
      </c>
      <c r="C3">
        <v>37</v>
      </c>
      <c r="D3">
        <v>1</v>
      </c>
      <c r="E3">
        <v>2007</v>
      </c>
      <c r="F3" t="s">
        <v>9</v>
      </c>
      <c r="G3" t="s">
        <v>8</v>
      </c>
      <c r="H3">
        <v>1</v>
      </c>
      <c r="I3">
        <v>1</v>
      </c>
      <c r="J3">
        <v>1</v>
      </c>
      <c r="K3">
        <v>0</v>
      </c>
      <c r="L3">
        <v>1</v>
      </c>
      <c r="M3">
        <f t="shared" ref="M3:M66" si="0">COUNTIF(H3:L3,"&lt;&gt;9")</f>
        <v>5</v>
      </c>
      <c r="N3">
        <f t="shared" ref="N3:N66" si="1">SUMIF(H3:L3,"&lt;&gt;9")</f>
        <v>4</v>
      </c>
      <c r="O3">
        <f t="shared" ref="O3:O66" si="2">IFERROR(ROUND(N3/M3,0),9)</f>
        <v>1</v>
      </c>
      <c r="P3" s="3">
        <v>45633</v>
      </c>
      <c r="Q3" t="s">
        <v>136</v>
      </c>
      <c r="R3" t="s">
        <v>126</v>
      </c>
      <c r="S3" t="s">
        <v>297</v>
      </c>
      <c r="T3" t="str">
        <f t="shared" ref="T3:T66" si="3">_xlfn.TEXTBEFORE(F3," ")</f>
        <v>Cristina</v>
      </c>
      <c r="U3" t="str">
        <f t="shared" ref="U3:U66" si="4">_xlfn.TEXTAFTER(F3," ",LEN(F3)-LEN(SUBSTITUTE(F3," ","")))</f>
        <v>Kirchner</v>
      </c>
      <c r="V3" t="str">
        <f t="shared" ref="V3:V66" si="5">IF(Q3="","",_xlfn.CONCAT(UPPER(U3),", ",T3,". Disponível em &lt;",R3,"&gt;. Acesso em ",TEXT(P3,"dd ""de"" mmmm ""de"" aaaa"),"."))</f>
        <v>KIRCHNER, Cristina. Disponível em &lt;https://www.casarosada.gob.ar/informacion/archivo/16462-blank-35472369&gt;. Acesso em 07 de dezembro de 2024.</v>
      </c>
    </row>
    <row r="4" spans="1:22" x14ac:dyDescent="0.35">
      <c r="A4" t="s">
        <v>5</v>
      </c>
      <c r="B4" t="s">
        <v>6</v>
      </c>
      <c r="C4">
        <v>37</v>
      </c>
      <c r="D4">
        <v>2</v>
      </c>
      <c r="E4">
        <v>2011</v>
      </c>
      <c r="F4" t="s">
        <v>9</v>
      </c>
      <c r="G4" t="s">
        <v>8</v>
      </c>
      <c r="H4">
        <v>1</v>
      </c>
      <c r="I4">
        <v>1</v>
      </c>
      <c r="J4">
        <v>1</v>
      </c>
      <c r="K4">
        <v>0</v>
      </c>
      <c r="L4">
        <v>1</v>
      </c>
      <c r="M4">
        <f t="shared" si="0"/>
        <v>5</v>
      </c>
      <c r="N4">
        <f t="shared" si="1"/>
        <v>4</v>
      </c>
      <c r="O4">
        <f t="shared" si="2"/>
        <v>1</v>
      </c>
      <c r="P4" s="3">
        <v>45633</v>
      </c>
      <c r="Q4" t="s">
        <v>136</v>
      </c>
      <c r="R4" t="s">
        <v>127</v>
      </c>
      <c r="S4" t="s">
        <v>299</v>
      </c>
      <c r="T4" t="str">
        <f t="shared" si="3"/>
        <v>Cristina</v>
      </c>
      <c r="U4" t="str">
        <f t="shared" si="4"/>
        <v>Kirchner</v>
      </c>
      <c r="V4" t="str">
        <f t="shared" si="5"/>
        <v>KIRCHNER, Cristina. Disponível em &lt;https://www.casarosada.gob.ar/informacion/archivo/25601-acto-de-asuncion-de-mando-en-el-congreso-de-la-nacion-discurso-de-la-presidenta-de-la-nacion&gt;. Acesso em 07 de dezembro de 2024.</v>
      </c>
    </row>
    <row r="5" spans="1:22" x14ac:dyDescent="0.35">
      <c r="A5" t="s">
        <v>5</v>
      </c>
      <c r="B5" t="s">
        <v>6</v>
      </c>
      <c r="C5">
        <v>37</v>
      </c>
      <c r="D5">
        <v>1</v>
      </c>
      <c r="E5">
        <v>2015</v>
      </c>
      <c r="F5" t="s">
        <v>10</v>
      </c>
      <c r="G5" t="s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5</v>
      </c>
      <c r="N5">
        <f t="shared" si="1"/>
        <v>0</v>
      </c>
      <c r="O5">
        <f t="shared" si="2"/>
        <v>0</v>
      </c>
      <c r="P5" s="3">
        <v>45633</v>
      </c>
      <c r="Q5" t="s">
        <v>136</v>
      </c>
      <c r="R5" t="s">
        <v>128</v>
      </c>
      <c r="S5" t="s">
        <v>298</v>
      </c>
      <c r="T5" t="str">
        <f t="shared" si="3"/>
        <v>Mauricio</v>
      </c>
      <c r="U5" t="str">
        <f t="shared" si="4"/>
        <v>Macri</v>
      </c>
      <c r="V5" t="str">
        <f t="shared" si="5"/>
        <v>MACRI, Mauricio. Disponível em &lt;https://www.casarosada.gob.ar/informacion/discursos/35023-palabras-del-presidente-de-la-nacion-mauricio-macri-ante-la-asamblea-legislativa-en-el-congreso-de-la-nacion&gt;. Acesso em 07 de dezembro de 2024.</v>
      </c>
    </row>
    <row r="6" spans="1:22" x14ac:dyDescent="0.35">
      <c r="A6" t="s">
        <v>5</v>
      </c>
      <c r="B6" t="s">
        <v>6</v>
      </c>
      <c r="C6">
        <v>37</v>
      </c>
      <c r="D6">
        <v>1</v>
      </c>
      <c r="E6">
        <v>2019</v>
      </c>
      <c r="F6" t="s">
        <v>11</v>
      </c>
      <c r="G6" t="s">
        <v>8</v>
      </c>
      <c r="H6">
        <v>0</v>
      </c>
      <c r="I6">
        <v>0</v>
      </c>
      <c r="J6">
        <v>0</v>
      </c>
      <c r="K6">
        <v>0</v>
      </c>
      <c r="L6">
        <v>9</v>
      </c>
      <c r="M6">
        <f t="shared" si="0"/>
        <v>4</v>
      </c>
      <c r="N6">
        <f t="shared" si="1"/>
        <v>0</v>
      </c>
      <c r="O6">
        <f t="shared" si="2"/>
        <v>0</v>
      </c>
      <c r="P6" s="3">
        <v>45633</v>
      </c>
      <c r="Q6" t="s">
        <v>136</v>
      </c>
      <c r="R6" t="s">
        <v>129</v>
      </c>
      <c r="S6" t="s">
        <v>300</v>
      </c>
      <c r="T6" t="str">
        <f t="shared" si="3"/>
        <v>Alberto</v>
      </c>
      <c r="U6" t="str">
        <f t="shared" si="4"/>
        <v>Fernández</v>
      </c>
      <c r="V6" t="str">
        <f t="shared" si="5"/>
        <v>FERNÁNDEZ, Alberto. Disponível em &lt;https://www.casarosada.gob.ar/informacion/discursos/46596-palabras-del-presidente-alberto-fernandez-en-su-acto-de-asuncion-ante-la-asamblea-legislativa&gt;. Acesso em 07 de dezembro de 2024.</v>
      </c>
    </row>
    <row r="7" spans="1:22" x14ac:dyDescent="0.35">
      <c r="A7" t="s">
        <v>5</v>
      </c>
      <c r="B7" t="s">
        <v>6</v>
      </c>
      <c r="C7">
        <v>37</v>
      </c>
      <c r="D7">
        <v>1</v>
      </c>
      <c r="E7">
        <v>2023</v>
      </c>
      <c r="F7" t="s">
        <v>12</v>
      </c>
      <c r="G7" t="s">
        <v>8</v>
      </c>
      <c r="H7">
        <v>9</v>
      </c>
      <c r="I7">
        <v>9</v>
      </c>
      <c r="J7">
        <v>9</v>
      </c>
      <c r="K7">
        <v>9</v>
      </c>
      <c r="L7">
        <v>9</v>
      </c>
      <c r="M7">
        <f t="shared" si="0"/>
        <v>0</v>
      </c>
      <c r="N7">
        <f t="shared" si="1"/>
        <v>0</v>
      </c>
      <c r="O7">
        <f t="shared" si="2"/>
        <v>9</v>
      </c>
      <c r="P7" s="3">
        <v>45633</v>
      </c>
      <c r="Q7" t="s">
        <v>136</v>
      </c>
      <c r="R7" t="s">
        <v>130</v>
      </c>
      <c r="S7" t="s">
        <v>301</v>
      </c>
      <c r="T7" t="str">
        <f t="shared" si="3"/>
        <v>Javier</v>
      </c>
      <c r="U7" t="str">
        <f t="shared" si="4"/>
        <v>Milei</v>
      </c>
      <c r="V7" t="str">
        <f t="shared" si="5"/>
        <v>MILEI, Javier. Disponível em &lt;https://www3.hcdn.gob.ar/dependencias/prensa/archivos/discursoasuncionmilei.pdf&gt;. Acesso em 07 de dezembro de 2024.</v>
      </c>
    </row>
    <row r="8" spans="1:22" x14ac:dyDescent="0.35">
      <c r="A8" t="s">
        <v>13</v>
      </c>
      <c r="B8" t="s">
        <v>14</v>
      </c>
      <c r="C8">
        <v>25</v>
      </c>
      <c r="D8">
        <v>1</v>
      </c>
      <c r="E8">
        <v>2002</v>
      </c>
      <c r="F8" t="s">
        <v>15</v>
      </c>
      <c r="G8" t="s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5</v>
      </c>
      <c r="N8">
        <f t="shared" si="1"/>
        <v>0</v>
      </c>
      <c r="O8">
        <f t="shared" si="2"/>
        <v>0</v>
      </c>
      <c r="P8" s="3"/>
      <c r="T8" t="str">
        <f t="shared" si="3"/>
        <v>Gonzalo</v>
      </c>
      <c r="U8" t="str">
        <f t="shared" si="4"/>
        <v>Bustamante</v>
      </c>
      <c r="V8" t="str">
        <f t="shared" si="5"/>
        <v/>
      </c>
    </row>
    <row r="9" spans="1:22" x14ac:dyDescent="0.35">
      <c r="A9" t="s">
        <v>13</v>
      </c>
      <c r="B9" t="s">
        <v>14</v>
      </c>
      <c r="C9">
        <v>25</v>
      </c>
      <c r="D9">
        <v>1</v>
      </c>
      <c r="E9">
        <v>2005</v>
      </c>
      <c r="F9" t="s">
        <v>16</v>
      </c>
      <c r="G9" t="s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f t="shared" si="0"/>
        <v>5</v>
      </c>
      <c r="N9">
        <f t="shared" si="1"/>
        <v>0</v>
      </c>
      <c r="O9">
        <f t="shared" si="2"/>
        <v>0</v>
      </c>
      <c r="P9" s="3">
        <v>45633</v>
      </c>
      <c r="Q9" t="s">
        <v>136</v>
      </c>
      <c r="R9" t="s">
        <v>131</v>
      </c>
      <c r="S9" t="s">
        <v>302</v>
      </c>
      <c r="T9" t="str">
        <f t="shared" si="3"/>
        <v>Enrique</v>
      </c>
      <c r="U9" t="str">
        <f t="shared" si="4"/>
        <v>Veltzé</v>
      </c>
      <c r="V9" t="str">
        <f t="shared" si="5"/>
        <v>VELTZÉ, Enrique. Disponível em &lt;https://reliefweb.int/report/bolivia/discurso-de-eduardo-rodriguez-veltze-tras-su-posesion-como-presidente-constitucional&gt;. Acesso em 07 de dezembro de 2024.</v>
      </c>
    </row>
    <row r="10" spans="1:22" x14ac:dyDescent="0.35">
      <c r="A10" t="s">
        <v>13</v>
      </c>
      <c r="B10" t="s">
        <v>14</v>
      </c>
      <c r="C10">
        <v>25</v>
      </c>
      <c r="D10">
        <v>1</v>
      </c>
      <c r="E10">
        <v>2006</v>
      </c>
      <c r="F10" t="s">
        <v>17</v>
      </c>
      <c r="G10" t="s">
        <v>18</v>
      </c>
      <c r="H10">
        <v>1</v>
      </c>
      <c r="I10">
        <v>1</v>
      </c>
      <c r="J10">
        <v>1</v>
      </c>
      <c r="K10">
        <v>1</v>
      </c>
      <c r="L10">
        <v>1</v>
      </c>
      <c r="M10">
        <f t="shared" si="0"/>
        <v>5</v>
      </c>
      <c r="N10">
        <f t="shared" si="1"/>
        <v>5</v>
      </c>
      <c r="O10">
        <f t="shared" si="2"/>
        <v>1</v>
      </c>
      <c r="P10" s="3">
        <v>45634</v>
      </c>
      <c r="Q10" t="s">
        <v>136</v>
      </c>
      <c r="R10" t="s">
        <v>166</v>
      </c>
      <c r="S10" t="s">
        <v>167</v>
      </c>
      <c r="T10" t="str">
        <f t="shared" si="3"/>
        <v>Juan</v>
      </c>
      <c r="U10" t="str">
        <f t="shared" si="4"/>
        <v>Ayma</v>
      </c>
      <c r="V10" t="str">
        <f t="shared" si="5"/>
        <v>AYMA, Juan. Disponível em &lt;https://www.pagina12.com.ar/diario/especiales/18-62330-2006-01-30.html&gt;. Acesso em 08 de dezembro de 2024.</v>
      </c>
    </row>
    <row r="11" spans="1:22" x14ac:dyDescent="0.35">
      <c r="A11" t="s">
        <v>13</v>
      </c>
      <c r="B11" t="s">
        <v>14</v>
      </c>
      <c r="C11">
        <v>25</v>
      </c>
      <c r="D11">
        <v>2</v>
      </c>
      <c r="E11">
        <v>2010</v>
      </c>
      <c r="F11" t="s">
        <v>17</v>
      </c>
      <c r="G11" t="s">
        <v>18</v>
      </c>
      <c r="H11">
        <v>1</v>
      </c>
      <c r="I11">
        <v>1</v>
      </c>
      <c r="J11">
        <v>1</v>
      </c>
      <c r="K11">
        <v>1</v>
      </c>
      <c r="L11">
        <v>1</v>
      </c>
      <c r="M11">
        <f t="shared" si="0"/>
        <v>5</v>
      </c>
      <c r="N11">
        <f t="shared" si="1"/>
        <v>5</v>
      </c>
      <c r="O11">
        <f t="shared" si="2"/>
        <v>1</v>
      </c>
      <c r="P11" s="3">
        <v>45724</v>
      </c>
      <c r="Q11" t="s">
        <v>136</v>
      </c>
      <c r="R11" t="s">
        <v>315</v>
      </c>
      <c r="S11" t="s">
        <v>313</v>
      </c>
      <c r="T11" t="str">
        <f t="shared" si="3"/>
        <v>Juan</v>
      </c>
      <c r="U11" t="str">
        <f t="shared" si="4"/>
        <v>Ayma</v>
      </c>
      <c r="V11" t="str">
        <f t="shared" si="5"/>
        <v>AYMA, Juan. Disponível em &lt;https://www.somossur.net/documentos/II_22012015_EVOMORALES_POSESION_ASAMBLEALEGISLATIVA.pdf&gt;. Acesso em 08 de março de 2025.</v>
      </c>
    </row>
    <row r="12" spans="1:22" x14ac:dyDescent="0.35">
      <c r="A12" t="s">
        <v>13</v>
      </c>
      <c r="B12" t="s">
        <v>14</v>
      </c>
      <c r="C12">
        <v>25</v>
      </c>
      <c r="D12">
        <v>3</v>
      </c>
      <c r="E12">
        <v>2015</v>
      </c>
      <c r="F12" t="s">
        <v>17</v>
      </c>
      <c r="G12" t="s">
        <v>18</v>
      </c>
      <c r="H12">
        <v>1</v>
      </c>
      <c r="I12">
        <v>1</v>
      </c>
      <c r="J12">
        <v>1</v>
      </c>
      <c r="K12">
        <v>1</v>
      </c>
      <c r="L12">
        <v>1</v>
      </c>
      <c r="M12">
        <f t="shared" si="0"/>
        <v>5</v>
      </c>
      <c r="N12">
        <f t="shared" si="1"/>
        <v>5</v>
      </c>
      <c r="O12">
        <f t="shared" si="2"/>
        <v>1</v>
      </c>
      <c r="P12" s="3">
        <v>45724</v>
      </c>
      <c r="Q12" t="s">
        <v>136</v>
      </c>
      <c r="R12" t="s">
        <v>316</v>
      </c>
      <c r="S12" t="s">
        <v>314</v>
      </c>
      <c r="T12" t="str">
        <f t="shared" si="3"/>
        <v>Juan</v>
      </c>
      <c r="U12" t="str">
        <f t="shared" si="4"/>
        <v>Ayma</v>
      </c>
      <c r="V12" t="str">
        <f t="shared" si="5"/>
        <v>AYMA, Juan. Disponível em &lt;https://www.youtube.com/watch?v=b6BpJz2XDIY&gt;. Acesso em 08 de março de 2025.</v>
      </c>
    </row>
    <row r="13" spans="1:22" x14ac:dyDescent="0.35">
      <c r="A13" t="s">
        <v>13</v>
      </c>
      <c r="B13" t="s">
        <v>14</v>
      </c>
      <c r="C13">
        <v>25</v>
      </c>
      <c r="D13">
        <v>1</v>
      </c>
      <c r="E13">
        <v>2019</v>
      </c>
      <c r="F13" t="s">
        <v>19</v>
      </c>
      <c r="G13" t="s">
        <v>18</v>
      </c>
      <c r="H13">
        <v>0</v>
      </c>
      <c r="I13">
        <v>0</v>
      </c>
      <c r="J13">
        <v>0</v>
      </c>
      <c r="K13">
        <v>0</v>
      </c>
      <c r="L13">
        <v>9</v>
      </c>
      <c r="M13">
        <f t="shared" si="0"/>
        <v>4</v>
      </c>
      <c r="N13">
        <f t="shared" si="1"/>
        <v>0</v>
      </c>
      <c r="O13">
        <f t="shared" si="2"/>
        <v>0</v>
      </c>
      <c r="P13" s="3">
        <v>45634</v>
      </c>
      <c r="Q13" t="s">
        <v>136</v>
      </c>
      <c r="R13" t="s">
        <v>164</v>
      </c>
      <c r="S13" t="s">
        <v>165</v>
      </c>
      <c r="T13" t="str">
        <f t="shared" si="3"/>
        <v>Jeanine</v>
      </c>
      <c r="U13" t="str">
        <f t="shared" si="4"/>
        <v>Chávez</v>
      </c>
      <c r="V13" t="str">
        <f t="shared" si="5"/>
        <v>CHÁVEZ, Jeanine. Disponível em &lt;https://embolnic.com/2019/11/15/discurso-de-la-ministra-de-relaciones-exteriores-en-la-posesion-de-los-ministros-de-s-e-la-presidenta-constitucional-del-estado-plurinacional-de-bolivia-jeanine-anez-chavez/&gt;. Acesso em 08 de dezembro de 2024.</v>
      </c>
    </row>
    <row r="14" spans="1:22" x14ac:dyDescent="0.35">
      <c r="A14" t="s">
        <v>13</v>
      </c>
      <c r="B14" t="s">
        <v>14</v>
      </c>
      <c r="C14">
        <v>25</v>
      </c>
      <c r="D14">
        <v>1</v>
      </c>
      <c r="E14">
        <v>2020</v>
      </c>
      <c r="F14" t="s">
        <v>20</v>
      </c>
      <c r="G14" t="s">
        <v>18</v>
      </c>
      <c r="H14">
        <v>0</v>
      </c>
      <c r="I14">
        <v>9</v>
      </c>
      <c r="J14">
        <v>9</v>
      </c>
      <c r="K14">
        <v>0</v>
      </c>
      <c r="L14">
        <v>9</v>
      </c>
      <c r="M14">
        <f t="shared" si="0"/>
        <v>2</v>
      </c>
      <c r="N14">
        <f t="shared" si="1"/>
        <v>0</v>
      </c>
      <c r="O14">
        <f t="shared" si="2"/>
        <v>0</v>
      </c>
      <c r="P14" s="3">
        <v>45634</v>
      </c>
      <c r="Q14" t="s">
        <v>136</v>
      </c>
      <c r="R14" t="s">
        <v>162</v>
      </c>
      <c r="S14" t="s">
        <v>163</v>
      </c>
      <c r="T14" t="str">
        <f t="shared" si="3"/>
        <v>Luis</v>
      </c>
      <c r="U14" t="str">
        <f t="shared" si="4"/>
        <v>Catacora</v>
      </c>
      <c r="V14" t="str">
        <f t="shared" si="5"/>
        <v>CATACORA, Luis. Disponível em &lt;https://www.laondadigital.com.uy/archivos/48126&gt;. Acesso em 08 de dezembro de 2024.</v>
      </c>
    </row>
    <row r="15" spans="1:22" x14ac:dyDescent="0.35">
      <c r="A15" t="s">
        <v>21</v>
      </c>
      <c r="B15" t="s">
        <v>22</v>
      </c>
      <c r="C15">
        <v>19</v>
      </c>
      <c r="D15">
        <v>1</v>
      </c>
      <c r="E15">
        <v>2003</v>
      </c>
      <c r="F15" t="s">
        <v>23</v>
      </c>
      <c r="G15" t="s">
        <v>8</v>
      </c>
      <c r="H15">
        <v>0</v>
      </c>
      <c r="I15">
        <v>0</v>
      </c>
      <c r="J15">
        <v>9</v>
      </c>
      <c r="K15">
        <v>0</v>
      </c>
      <c r="L15">
        <v>0</v>
      </c>
      <c r="M15">
        <f t="shared" si="0"/>
        <v>4</v>
      </c>
      <c r="N15">
        <f t="shared" si="1"/>
        <v>0</v>
      </c>
      <c r="O15">
        <f t="shared" si="2"/>
        <v>0</v>
      </c>
      <c r="P15" s="3">
        <v>45633</v>
      </c>
      <c r="Q15" t="s">
        <v>137</v>
      </c>
      <c r="R15" t="s">
        <v>132</v>
      </c>
      <c r="S15" t="s">
        <v>139</v>
      </c>
      <c r="T15" t="str">
        <f t="shared" si="3"/>
        <v>Luiz</v>
      </c>
      <c r="U15" t="str">
        <f t="shared" si="4"/>
        <v>Silva</v>
      </c>
      <c r="V15" t="str">
        <f t="shared" si="5"/>
        <v>SILVA, Luiz. Disponível em &lt;https://www.biblioteca.presidencia.gov.br/presidencia/ex-presidentes/luiz-inacio-lula-da-silva/discursos/1o-mandato/2003/01-01-pronunciamento-a-nacao-do-presidente-da-republica-luiz-inacio-lula-da-silva-apos-a-cerimonia-de-posse.pdf/view&gt;. Acesso em 07 de dezembro de 2024.</v>
      </c>
    </row>
    <row r="16" spans="1:22" x14ac:dyDescent="0.35">
      <c r="A16" t="s">
        <v>21</v>
      </c>
      <c r="B16" t="s">
        <v>22</v>
      </c>
      <c r="C16">
        <v>19</v>
      </c>
      <c r="D16">
        <v>2</v>
      </c>
      <c r="E16">
        <v>2007</v>
      </c>
      <c r="F16" t="s">
        <v>23</v>
      </c>
      <c r="G16" t="s">
        <v>8</v>
      </c>
      <c r="H16">
        <v>0</v>
      </c>
      <c r="I16">
        <v>0</v>
      </c>
      <c r="J16">
        <v>9</v>
      </c>
      <c r="K16">
        <v>0</v>
      </c>
      <c r="L16">
        <v>0</v>
      </c>
      <c r="M16">
        <f t="shared" si="0"/>
        <v>4</v>
      </c>
      <c r="N16">
        <f t="shared" si="1"/>
        <v>0</v>
      </c>
      <c r="O16">
        <f t="shared" si="2"/>
        <v>0</v>
      </c>
      <c r="P16" s="3">
        <v>45634</v>
      </c>
      <c r="Q16" t="s">
        <v>137</v>
      </c>
      <c r="R16" t="s">
        <v>138</v>
      </c>
      <c r="S16" t="s">
        <v>140</v>
      </c>
      <c r="T16" t="str">
        <f t="shared" si="3"/>
        <v>Luiz</v>
      </c>
      <c r="U16" t="str">
        <f t="shared" si="4"/>
        <v>Silva</v>
      </c>
      <c r="V16" t="str">
        <f t="shared" si="5"/>
        <v>SILVA, Luiz. Disponível em &lt;https://www.biblioteca.presidencia.gov.br/presidencia/ex-presidentes/luiz-inacio-lula-da-silva/discursos/2o-mandato/2007/01-01-2007-pronunciamento-a-nacao-do-presidente-da-republica-luiz-inacio-lula-da-silva-na-cerimonia-de-posse/view&gt;. Acesso em 08 de dezembro de 2024.</v>
      </c>
    </row>
    <row r="17" spans="1:22" x14ac:dyDescent="0.35">
      <c r="A17" t="s">
        <v>21</v>
      </c>
      <c r="B17" t="s">
        <v>22</v>
      </c>
      <c r="C17">
        <v>19</v>
      </c>
      <c r="D17">
        <v>1</v>
      </c>
      <c r="E17">
        <v>2011</v>
      </c>
      <c r="F17" t="s">
        <v>24</v>
      </c>
      <c r="G17" t="s">
        <v>8</v>
      </c>
      <c r="H17">
        <v>0</v>
      </c>
      <c r="I17">
        <v>0</v>
      </c>
      <c r="J17">
        <v>9</v>
      </c>
      <c r="K17">
        <v>0</v>
      </c>
      <c r="L17">
        <v>0</v>
      </c>
      <c r="M17">
        <f t="shared" si="0"/>
        <v>4</v>
      </c>
      <c r="N17">
        <f t="shared" si="1"/>
        <v>0</v>
      </c>
      <c r="O17">
        <f t="shared" si="2"/>
        <v>0</v>
      </c>
      <c r="P17" s="3">
        <v>45634</v>
      </c>
      <c r="Q17" t="s">
        <v>137</v>
      </c>
      <c r="R17" t="s">
        <v>141</v>
      </c>
      <c r="S17" t="s">
        <v>142</v>
      </c>
      <c r="T17" t="str">
        <f t="shared" si="3"/>
        <v>Dilma</v>
      </c>
      <c r="U17" t="str">
        <f t="shared" si="4"/>
        <v>Rousseff</v>
      </c>
      <c r="V17" t="str">
        <f t="shared" si="5"/>
        <v>ROUSSEFF, Dilma. Disponível em &lt;https://www.biblioteca.presidencia.gov.br/presidencia/ex-presidentes/dilma-rousseff/discursos/discursos-da-presidenta/discurso-da-presidenta-da-republica-dilma-rousseff-durante-compromisso-constitucional-perante-o-congresso-nacional&gt;. Acesso em 08 de dezembro de 2024.</v>
      </c>
    </row>
    <row r="18" spans="1:22" x14ac:dyDescent="0.35">
      <c r="A18" t="s">
        <v>21</v>
      </c>
      <c r="B18" t="s">
        <v>22</v>
      </c>
      <c r="C18">
        <v>19</v>
      </c>
      <c r="D18">
        <v>3</v>
      </c>
      <c r="E18">
        <v>2015</v>
      </c>
      <c r="F18" t="s">
        <v>24</v>
      </c>
      <c r="G18" t="s">
        <v>8</v>
      </c>
      <c r="H18">
        <v>0</v>
      </c>
      <c r="I18">
        <v>0</v>
      </c>
      <c r="J18">
        <v>9</v>
      </c>
      <c r="K18">
        <v>0</v>
      </c>
      <c r="L18">
        <v>0</v>
      </c>
      <c r="M18">
        <f t="shared" si="0"/>
        <v>4</v>
      </c>
      <c r="N18">
        <f t="shared" si="1"/>
        <v>0</v>
      </c>
      <c r="O18">
        <f t="shared" si="2"/>
        <v>0</v>
      </c>
      <c r="P18" s="3">
        <v>45634</v>
      </c>
      <c r="Q18" t="s">
        <v>137</v>
      </c>
      <c r="R18" t="s">
        <v>143</v>
      </c>
      <c r="S18" t="s">
        <v>303</v>
      </c>
      <c r="T18" t="str">
        <f t="shared" si="3"/>
        <v>Dilma</v>
      </c>
      <c r="U18" t="str">
        <f t="shared" si="4"/>
        <v>Rousseff</v>
      </c>
      <c r="V18" t="str">
        <f t="shared" si="5"/>
        <v>ROUSSEFF, Dilma. Disponível em &lt;https://www.biblioteca.presidencia.gov.br/presidencia/ex-presidentes/dilma-rousseff/discursos/discursos-da-presidenta/discurso-da-presidenta-da-republica-dilma-rousseff-durante-compromisso-constitucional-perante-o-congresso-nacional-1&gt;. Acesso em 08 de dezembro de 2024.</v>
      </c>
    </row>
    <row r="19" spans="1:22" x14ac:dyDescent="0.35">
      <c r="A19" t="s">
        <v>21</v>
      </c>
      <c r="B19" t="s">
        <v>22</v>
      </c>
      <c r="C19">
        <v>19</v>
      </c>
      <c r="D19">
        <v>1</v>
      </c>
      <c r="E19">
        <v>2016</v>
      </c>
      <c r="F19" t="s">
        <v>25</v>
      </c>
      <c r="G19" t="s">
        <v>8</v>
      </c>
      <c r="H19">
        <v>0</v>
      </c>
      <c r="I19">
        <v>0</v>
      </c>
      <c r="J19">
        <v>9</v>
      </c>
      <c r="K19">
        <v>0</v>
      </c>
      <c r="L19">
        <v>0</v>
      </c>
      <c r="M19">
        <f t="shared" si="0"/>
        <v>4</v>
      </c>
      <c r="N19">
        <f t="shared" si="1"/>
        <v>0</v>
      </c>
      <c r="O19">
        <f t="shared" si="2"/>
        <v>0</v>
      </c>
      <c r="P19" s="3">
        <v>45634</v>
      </c>
      <c r="Q19" t="s">
        <v>137</v>
      </c>
      <c r="R19" t="s">
        <v>144</v>
      </c>
      <c r="S19" t="s">
        <v>145</v>
      </c>
      <c r="T19" t="str">
        <f t="shared" si="3"/>
        <v>Michel</v>
      </c>
      <c r="U19" t="str">
        <f t="shared" si="4"/>
        <v>Lulia</v>
      </c>
      <c r="V19" t="str">
        <f t="shared" si="5"/>
        <v>LULIA, Michel. Disponível em &lt;https://www.biblioteca.presidencia.gov.br/presidencia/ex-presidentes/michel-temer/discursos-do-presidente-da-republica/discurso-do-presidente-da-republica-michel-temer-durante-cerimonia-de-posse-dos-novos-ministros-de-estado-palacio-do-planalto&gt;. Acesso em 08 de dezembro de 2024.</v>
      </c>
    </row>
    <row r="20" spans="1:22" x14ac:dyDescent="0.35">
      <c r="A20" t="s">
        <v>21</v>
      </c>
      <c r="B20" t="s">
        <v>22</v>
      </c>
      <c r="C20">
        <v>19</v>
      </c>
      <c r="D20">
        <v>1</v>
      </c>
      <c r="E20">
        <v>2019</v>
      </c>
      <c r="F20" t="s">
        <v>26</v>
      </c>
      <c r="G20" t="s">
        <v>8</v>
      </c>
      <c r="H20">
        <v>1</v>
      </c>
      <c r="I20">
        <v>1</v>
      </c>
      <c r="J20">
        <v>9</v>
      </c>
      <c r="K20">
        <v>0</v>
      </c>
      <c r="L20">
        <v>1</v>
      </c>
      <c r="M20">
        <f t="shared" si="0"/>
        <v>4</v>
      </c>
      <c r="N20">
        <f t="shared" si="1"/>
        <v>3</v>
      </c>
      <c r="O20">
        <f t="shared" si="2"/>
        <v>1</v>
      </c>
      <c r="P20" s="3">
        <v>45634</v>
      </c>
      <c r="Q20" t="s">
        <v>137</v>
      </c>
      <c r="R20" t="s">
        <v>147</v>
      </c>
      <c r="S20" t="s">
        <v>146</v>
      </c>
      <c r="T20" t="str">
        <f t="shared" si="3"/>
        <v>Jair</v>
      </c>
      <c r="U20" t="str">
        <f t="shared" si="4"/>
        <v>Bolsonaro</v>
      </c>
      <c r="V20" t="str">
        <f t="shared" si="5"/>
        <v>BOLSONARO, Jair. Disponível em &lt;https://www.biblioteca.presidencia.gov.br/presidencia/ex-presidentes/bolsonaro/discursos/discurso-do-presidente-da-republica-jair-bolsonaro-durante-cerimonia-de-posse-no-congresso-nacional&gt;. Acesso em 08 de dezembro de 2024.</v>
      </c>
    </row>
    <row r="21" spans="1:22" x14ac:dyDescent="0.35">
      <c r="A21" t="s">
        <v>27</v>
      </c>
      <c r="B21" t="s">
        <v>28</v>
      </c>
      <c r="C21">
        <v>72</v>
      </c>
      <c r="D21">
        <v>1</v>
      </c>
      <c r="E21">
        <v>2000</v>
      </c>
      <c r="F21" t="s">
        <v>29</v>
      </c>
      <c r="G21" t="s">
        <v>8</v>
      </c>
      <c r="H21">
        <v>0</v>
      </c>
      <c r="I21">
        <v>9</v>
      </c>
      <c r="J21">
        <v>9</v>
      </c>
      <c r="K21">
        <v>0</v>
      </c>
      <c r="L21">
        <v>9</v>
      </c>
      <c r="M21">
        <f t="shared" si="0"/>
        <v>2</v>
      </c>
      <c r="N21">
        <f t="shared" si="1"/>
        <v>0</v>
      </c>
      <c r="O21">
        <f t="shared" si="2"/>
        <v>0</v>
      </c>
      <c r="P21" s="3">
        <v>45634</v>
      </c>
      <c r="Q21" t="s">
        <v>136</v>
      </c>
      <c r="R21" t="s">
        <v>158</v>
      </c>
      <c r="S21" t="s">
        <v>157</v>
      </c>
      <c r="T21" t="str">
        <f t="shared" si="3"/>
        <v>Ricardo</v>
      </c>
      <c r="U21" t="str">
        <f t="shared" si="4"/>
        <v>Escobar</v>
      </c>
      <c r="V21" t="str">
        <f t="shared" si="5"/>
        <v>ESCOBAR, Ricardo. Disponível em &lt;https://www.youtube.com/watch?v=GPlyPQGiwYU&gt;. Acesso em 08 de dezembro de 2024.</v>
      </c>
    </row>
    <row r="22" spans="1:22" x14ac:dyDescent="0.35">
      <c r="A22" t="s">
        <v>27</v>
      </c>
      <c r="B22" t="s">
        <v>28</v>
      </c>
      <c r="C22">
        <v>72</v>
      </c>
      <c r="D22">
        <v>1</v>
      </c>
      <c r="E22">
        <v>2006</v>
      </c>
      <c r="F22" t="s">
        <v>30</v>
      </c>
      <c r="G22" t="s">
        <v>8</v>
      </c>
      <c r="H22">
        <v>0</v>
      </c>
      <c r="I22">
        <v>9</v>
      </c>
      <c r="J22">
        <v>9</v>
      </c>
      <c r="K22">
        <v>0</v>
      </c>
      <c r="L22">
        <v>9</v>
      </c>
      <c r="M22">
        <f t="shared" si="0"/>
        <v>2</v>
      </c>
      <c r="N22">
        <f t="shared" si="1"/>
        <v>0</v>
      </c>
      <c r="O22">
        <f t="shared" si="2"/>
        <v>0</v>
      </c>
      <c r="P22" s="3">
        <v>45634</v>
      </c>
      <c r="Q22" t="s">
        <v>136</v>
      </c>
      <c r="R22" t="s">
        <v>160</v>
      </c>
      <c r="S22" t="s">
        <v>161</v>
      </c>
      <c r="T22" t="str">
        <f t="shared" si="3"/>
        <v>Verónica</v>
      </c>
      <c r="U22" t="str">
        <f t="shared" si="4"/>
        <v>Jeria</v>
      </c>
      <c r="V22" t="str">
        <f t="shared" si="5"/>
        <v>JERIA, Verónica. Disponível em &lt;https://www.youtube.com/watch?v=O1K3_wrPc_A&gt;. Acesso em 08 de dezembro de 2024.</v>
      </c>
    </row>
    <row r="23" spans="1:22" x14ac:dyDescent="0.35">
      <c r="A23" t="s">
        <v>27</v>
      </c>
      <c r="B23" t="s">
        <v>28</v>
      </c>
      <c r="C23">
        <v>72</v>
      </c>
      <c r="D23">
        <v>1</v>
      </c>
      <c r="E23">
        <v>2010</v>
      </c>
      <c r="F23" t="s">
        <v>31</v>
      </c>
      <c r="G23" t="s">
        <v>8</v>
      </c>
      <c r="H23">
        <v>0</v>
      </c>
      <c r="I23">
        <v>9</v>
      </c>
      <c r="J23">
        <v>9</v>
      </c>
      <c r="K23">
        <v>0</v>
      </c>
      <c r="L23">
        <v>9</v>
      </c>
      <c r="M23">
        <f t="shared" si="0"/>
        <v>2</v>
      </c>
      <c r="N23">
        <f t="shared" si="1"/>
        <v>0</v>
      </c>
      <c r="O23">
        <f t="shared" si="2"/>
        <v>0</v>
      </c>
      <c r="P23" s="3">
        <v>45634</v>
      </c>
      <c r="Q23" t="s">
        <v>136</v>
      </c>
      <c r="R23" t="s">
        <v>153</v>
      </c>
      <c r="S23" t="s">
        <v>154</v>
      </c>
      <c r="T23" t="str">
        <f t="shared" si="3"/>
        <v>Miguel</v>
      </c>
      <c r="U23" t="str">
        <f t="shared" si="4"/>
        <v>Echenique</v>
      </c>
      <c r="V23" t="str">
        <f t="shared" si="5"/>
        <v>ECHENIQUE, Miguel. Disponível em &lt;https://www.sebastianpinera.cl/wp-content/uploads/2019/04/Discursos-Escogidos.pdf&gt;. Acesso em 08 de dezembro de 2024.</v>
      </c>
    </row>
    <row r="24" spans="1:22" x14ac:dyDescent="0.35">
      <c r="A24" t="s">
        <v>27</v>
      </c>
      <c r="B24" t="s">
        <v>28</v>
      </c>
      <c r="C24">
        <v>72</v>
      </c>
      <c r="D24">
        <v>2</v>
      </c>
      <c r="E24">
        <v>2014</v>
      </c>
      <c r="F24" t="s">
        <v>30</v>
      </c>
      <c r="G24" t="s">
        <v>8</v>
      </c>
      <c r="H24">
        <v>0</v>
      </c>
      <c r="I24">
        <v>9</v>
      </c>
      <c r="J24">
        <v>9</v>
      </c>
      <c r="K24">
        <v>0</v>
      </c>
      <c r="L24">
        <v>9</v>
      </c>
      <c r="M24">
        <f t="shared" si="0"/>
        <v>2</v>
      </c>
      <c r="N24">
        <f t="shared" si="1"/>
        <v>0</v>
      </c>
      <c r="O24">
        <f t="shared" si="2"/>
        <v>0</v>
      </c>
      <c r="P24" s="3">
        <v>45634</v>
      </c>
      <c r="Q24" t="s">
        <v>136</v>
      </c>
      <c r="R24" t="s">
        <v>156</v>
      </c>
      <c r="S24" t="s">
        <v>155</v>
      </c>
      <c r="T24" t="str">
        <f t="shared" si="3"/>
        <v>Verónica</v>
      </c>
      <c r="U24" t="str">
        <f t="shared" si="4"/>
        <v>Jeria</v>
      </c>
      <c r="V24" t="str">
        <f t="shared" si="5"/>
        <v>JERIA, Verónica. Disponível em &lt;http://archivospresidenciales.archivonacional.cl/uploads/r/archivo-presidencia-de-la-republica/7/7/2/7724c3bd16acde7ebf444dc450d38992669efbe55fdc18d8dd03586b4b46c120/_home_aristoteles_documentos_DIS_0001.pdf&gt;. Acesso em 08 de dezembro de 2024.</v>
      </c>
    </row>
    <row r="25" spans="1:22" x14ac:dyDescent="0.35">
      <c r="A25" t="s">
        <v>27</v>
      </c>
      <c r="B25" t="s">
        <v>28</v>
      </c>
      <c r="C25">
        <v>72</v>
      </c>
      <c r="D25">
        <v>2</v>
      </c>
      <c r="E25">
        <v>2018</v>
      </c>
      <c r="F25" t="s">
        <v>31</v>
      </c>
      <c r="G25" t="s">
        <v>8</v>
      </c>
      <c r="H25">
        <v>0</v>
      </c>
      <c r="I25">
        <v>9</v>
      </c>
      <c r="J25">
        <v>9</v>
      </c>
      <c r="K25">
        <v>0</v>
      </c>
      <c r="L25">
        <v>9</v>
      </c>
      <c r="M25">
        <f t="shared" si="0"/>
        <v>2</v>
      </c>
      <c r="N25">
        <f t="shared" si="1"/>
        <v>0</v>
      </c>
      <c r="O25">
        <f t="shared" si="2"/>
        <v>0</v>
      </c>
      <c r="P25" s="3">
        <v>45634</v>
      </c>
      <c r="Q25" t="s">
        <v>136</v>
      </c>
      <c r="R25" t="s">
        <v>151</v>
      </c>
      <c r="S25" t="s">
        <v>152</v>
      </c>
      <c r="T25" t="str">
        <f t="shared" si="3"/>
        <v>Miguel</v>
      </c>
      <c r="U25" t="str">
        <f t="shared" si="4"/>
        <v>Echenique</v>
      </c>
      <c r="V25" t="str">
        <f t="shared" si="5"/>
        <v>ECHENIQUE, Miguel. Disponível em &lt;https://prensa.presidencia.cl/comunicado.aspx?id=71719&gt;. Acesso em 08 de dezembro de 2024.</v>
      </c>
    </row>
    <row r="26" spans="1:22" x14ac:dyDescent="0.35">
      <c r="A26" t="s">
        <v>27</v>
      </c>
      <c r="B26" t="s">
        <v>28</v>
      </c>
      <c r="C26">
        <v>72</v>
      </c>
      <c r="D26">
        <v>1</v>
      </c>
      <c r="E26">
        <v>2022</v>
      </c>
      <c r="F26" t="s">
        <v>148</v>
      </c>
      <c r="G26" t="s">
        <v>8</v>
      </c>
      <c r="H26">
        <v>9</v>
      </c>
      <c r="I26">
        <v>9</v>
      </c>
      <c r="J26">
        <v>9</v>
      </c>
      <c r="K26">
        <v>9</v>
      </c>
      <c r="L26">
        <v>9</v>
      </c>
      <c r="M26">
        <f t="shared" si="0"/>
        <v>0</v>
      </c>
      <c r="N26">
        <f t="shared" si="1"/>
        <v>0</v>
      </c>
      <c r="O26">
        <f t="shared" si="2"/>
        <v>9</v>
      </c>
      <c r="P26" s="3">
        <v>45634</v>
      </c>
      <c r="Q26" t="s">
        <v>136</v>
      </c>
      <c r="R26" t="s">
        <v>149</v>
      </c>
      <c r="S26" t="s">
        <v>150</v>
      </c>
      <c r="T26" t="str">
        <f t="shared" si="3"/>
        <v>Gabriel</v>
      </c>
      <c r="U26" t="str">
        <f t="shared" si="4"/>
        <v>Font</v>
      </c>
      <c r="V26" t="str">
        <f t="shared" si="5"/>
        <v>FONT, Gabriel. Disponível em &lt;https://prensa.presidencia.cl/discurso.aspx?id=188237&gt;. Acesso em 08 de dezembro de 2024.</v>
      </c>
    </row>
    <row r="27" spans="1:22" x14ac:dyDescent="0.35">
      <c r="A27" t="s">
        <v>32</v>
      </c>
      <c r="B27" t="s">
        <v>33</v>
      </c>
      <c r="C27">
        <v>15</v>
      </c>
      <c r="D27">
        <v>1</v>
      </c>
      <c r="E27">
        <v>2002</v>
      </c>
      <c r="F27" t="s">
        <v>34</v>
      </c>
      <c r="G27" t="s">
        <v>8</v>
      </c>
      <c r="H27">
        <v>9</v>
      </c>
      <c r="I27">
        <v>9</v>
      </c>
      <c r="J27">
        <v>9</v>
      </c>
      <c r="K27">
        <v>0</v>
      </c>
      <c r="L27">
        <v>9</v>
      </c>
      <c r="M27">
        <f t="shared" si="0"/>
        <v>1</v>
      </c>
      <c r="N27">
        <f t="shared" si="1"/>
        <v>0</v>
      </c>
      <c r="O27">
        <f t="shared" si="2"/>
        <v>0</v>
      </c>
      <c r="P27" s="3">
        <v>45634</v>
      </c>
      <c r="Q27" t="s">
        <v>136</v>
      </c>
      <c r="R27" t="s">
        <v>168</v>
      </c>
      <c r="S27" t="s">
        <v>169</v>
      </c>
      <c r="T27" t="str">
        <f t="shared" si="3"/>
        <v>Álvaro</v>
      </c>
      <c r="U27" t="str">
        <f t="shared" si="4"/>
        <v>Vélez</v>
      </c>
      <c r="V27" t="str">
        <f t="shared" si="5"/>
        <v>VÉLEZ, Álvaro. Disponível em &lt;https://www.legadouribe.com/wp-content/uploads/2020/06/discurso-1.pdf&gt;. Acesso em 08 de dezembro de 2024.</v>
      </c>
    </row>
    <row r="28" spans="1:22" x14ac:dyDescent="0.35">
      <c r="A28" t="s">
        <v>32</v>
      </c>
      <c r="B28" t="s">
        <v>33</v>
      </c>
      <c r="C28">
        <v>15</v>
      </c>
      <c r="D28">
        <v>2</v>
      </c>
      <c r="E28">
        <v>2006</v>
      </c>
      <c r="F28" t="s">
        <v>34</v>
      </c>
      <c r="G28" t="s">
        <v>8</v>
      </c>
      <c r="H28">
        <v>9</v>
      </c>
      <c r="I28">
        <v>9</v>
      </c>
      <c r="J28">
        <v>9</v>
      </c>
      <c r="K28">
        <v>0</v>
      </c>
      <c r="L28">
        <v>9</v>
      </c>
      <c r="M28">
        <f t="shared" si="0"/>
        <v>1</v>
      </c>
      <c r="N28">
        <f t="shared" si="1"/>
        <v>0</v>
      </c>
      <c r="O28">
        <f t="shared" si="2"/>
        <v>0</v>
      </c>
      <c r="P28" s="3">
        <v>45634</v>
      </c>
      <c r="Q28" t="s">
        <v>136</v>
      </c>
      <c r="R28" t="s">
        <v>170</v>
      </c>
      <c r="S28" t="s">
        <v>171</v>
      </c>
      <c r="T28" t="str">
        <f t="shared" si="3"/>
        <v>Álvaro</v>
      </c>
      <c r="U28" t="str">
        <f t="shared" si="4"/>
        <v>Vélez</v>
      </c>
      <c r="V28" t="str">
        <f t="shared" si="5"/>
        <v>VÉLEZ, Álvaro. Disponível em &lt;https://www.legadouribe.com/wp-content/uploads/2020/06/Discurso-21.pdf&gt;. Acesso em 08 de dezembro de 2024.</v>
      </c>
    </row>
    <row r="29" spans="1:22" x14ac:dyDescent="0.35">
      <c r="A29" t="s">
        <v>32</v>
      </c>
      <c r="B29" t="s">
        <v>33</v>
      </c>
      <c r="C29">
        <v>15</v>
      </c>
      <c r="D29">
        <v>1</v>
      </c>
      <c r="E29">
        <v>2010</v>
      </c>
      <c r="F29" t="s">
        <v>35</v>
      </c>
      <c r="G29" t="s">
        <v>8</v>
      </c>
      <c r="H29">
        <v>9</v>
      </c>
      <c r="I29">
        <v>9</v>
      </c>
      <c r="J29">
        <v>9</v>
      </c>
      <c r="K29">
        <v>0</v>
      </c>
      <c r="L29">
        <v>9</v>
      </c>
      <c r="M29">
        <f t="shared" si="0"/>
        <v>1</v>
      </c>
      <c r="N29">
        <f t="shared" si="1"/>
        <v>0</v>
      </c>
      <c r="O29">
        <f t="shared" si="2"/>
        <v>0</v>
      </c>
      <c r="P29" s="3">
        <v>45634</v>
      </c>
      <c r="Q29" t="s">
        <v>136</v>
      </c>
      <c r="R29" t="s">
        <v>173</v>
      </c>
      <c r="S29" t="s">
        <v>172</v>
      </c>
      <c r="T29" t="str">
        <f t="shared" si="3"/>
        <v>Juan</v>
      </c>
      <c r="U29" t="str">
        <f t="shared" si="4"/>
        <v>Calderón</v>
      </c>
      <c r="V29" t="str">
        <f t="shared" si="5"/>
        <v>CALDERÓN, Juan. Disponível em &lt;https://bapp.com.co/archivos/1.03.0220.pdf&gt;. Acesso em 08 de dezembro de 2024.</v>
      </c>
    </row>
    <row r="30" spans="1:22" x14ac:dyDescent="0.35">
      <c r="A30" t="s">
        <v>32</v>
      </c>
      <c r="B30" t="s">
        <v>33</v>
      </c>
      <c r="C30">
        <v>15</v>
      </c>
      <c r="D30">
        <v>2</v>
      </c>
      <c r="E30">
        <v>2014</v>
      </c>
      <c r="F30" t="s">
        <v>35</v>
      </c>
      <c r="G30" t="s">
        <v>8</v>
      </c>
      <c r="H30">
        <v>9</v>
      </c>
      <c r="I30">
        <v>9</v>
      </c>
      <c r="J30">
        <v>9</v>
      </c>
      <c r="K30">
        <v>0</v>
      </c>
      <c r="L30">
        <v>9</v>
      </c>
      <c r="M30">
        <f t="shared" si="0"/>
        <v>1</v>
      </c>
      <c r="N30">
        <f t="shared" si="1"/>
        <v>0</v>
      </c>
      <c r="O30">
        <f t="shared" si="2"/>
        <v>0</v>
      </c>
      <c r="P30" s="3">
        <v>45634</v>
      </c>
      <c r="Q30" t="s">
        <v>136</v>
      </c>
      <c r="R30" t="s">
        <v>174</v>
      </c>
      <c r="S30" t="s">
        <v>175</v>
      </c>
      <c r="T30" t="str">
        <f t="shared" si="3"/>
        <v>Juan</v>
      </c>
      <c r="U30" t="str">
        <f t="shared" si="4"/>
        <v>Calderón</v>
      </c>
      <c r="V30" t="str">
        <f t="shared" si="5"/>
        <v>CALDERÓN, Juan. Disponível em &lt;https://bapp.com.co/archivos/1.03.1261.pdf&gt;. Acesso em 08 de dezembro de 2024.</v>
      </c>
    </row>
    <row r="31" spans="1:22" x14ac:dyDescent="0.35">
      <c r="A31" t="s">
        <v>32</v>
      </c>
      <c r="B31" t="s">
        <v>33</v>
      </c>
      <c r="C31">
        <v>15</v>
      </c>
      <c r="D31">
        <v>1</v>
      </c>
      <c r="E31">
        <v>2018</v>
      </c>
      <c r="F31" t="s">
        <v>36</v>
      </c>
      <c r="G31" t="s">
        <v>8</v>
      </c>
      <c r="H31">
        <v>9</v>
      </c>
      <c r="I31">
        <v>9</v>
      </c>
      <c r="J31">
        <v>9</v>
      </c>
      <c r="K31">
        <v>0</v>
      </c>
      <c r="L31">
        <v>9</v>
      </c>
      <c r="M31">
        <f t="shared" si="0"/>
        <v>1</v>
      </c>
      <c r="N31">
        <f t="shared" si="1"/>
        <v>0</v>
      </c>
      <c r="O31">
        <f t="shared" si="2"/>
        <v>0</v>
      </c>
      <c r="P31" s="3">
        <v>45634</v>
      </c>
      <c r="Q31" t="s">
        <v>136</v>
      </c>
      <c r="R31" t="s">
        <v>177</v>
      </c>
      <c r="S31" t="s">
        <v>176</v>
      </c>
      <c r="T31" t="str">
        <f t="shared" si="3"/>
        <v>Iván</v>
      </c>
      <c r="U31" t="str">
        <f t="shared" si="4"/>
        <v>Márquez</v>
      </c>
      <c r="V31" t="str">
        <f t="shared" si="5"/>
        <v>MÁRQUEZ, Iván. Disponível em &lt;https://rtvc-assets-radionacional-v2.s3.amazonaws.com/s3fs-public/descargables/discurso_del_presidente_duque_7_ago_18.pdf&gt;. Acesso em 08 de dezembro de 2024.</v>
      </c>
    </row>
    <row r="32" spans="1:22" x14ac:dyDescent="0.35">
      <c r="A32" t="s">
        <v>32</v>
      </c>
      <c r="B32" t="s">
        <v>33</v>
      </c>
      <c r="C32">
        <v>15</v>
      </c>
      <c r="D32">
        <v>1</v>
      </c>
      <c r="E32">
        <v>2022</v>
      </c>
      <c r="F32" t="s">
        <v>37</v>
      </c>
      <c r="G32" t="s">
        <v>8</v>
      </c>
      <c r="H32">
        <v>9</v>
      </c>
      <c r="I32">
        <v>9</v>
      </c>
      <c r="J32">
        <v>9</v>
      </c>
      <c r="K32">
        <v>9</v>
      </c>
      <c r="L32">
        <v>9</v>
      </c>
      <c r="M32">
        <f t="shared" si="0"/>
        <v>0</v>
      </c>
      <c r="N32">
        <f t="shared" si="1"/>
        <v>0</v>
      </c>
      <c r="O32">
        <f t="shared" si="2"/>
        <v>9</v>
      </c>
      <c r="P32" s="3">
        <v>45634</v>
      </c>
      <c r="Q32" t="s">
        <v>136</v>
      </c>
      <c r="R32" t="s">
        <v>179</v>
      </c>
      <c r="S32" t="s">
        <v>178</v>
      </c>
      <c r="T32" t="str">
        <f t="shared" si="3"/>
        <v>Gustavo</v>
      </c>
      <c r="U32" t="str">
        <f t="shared" si="4"/>
        <v>Urrego</v>
      </c>
      <c r="V32" t="str">
        <f t="shared" si="5"/>
        <v>URREGO, Gustavo. Disponível em &lt;https://www.cancilleria.gov.co/newsroom/news/palabras-presidente-republica-gustavo-petro-urrego-tomar-posesion-jefe-estado&gt;. Acesso em 08 de dezembro de 2024.</v>
      </c>
    </row>
    <row r="33" spans="1:22" x14ac:dyDescent="0.35">
      <c r="A33" t="s">
        <v>38</v>
      </c>
      <c r="B33" t="s">
        <v>39</v>
      </c>
      <c r="C33">
        <v>73</v>
      </c>
      <c r="D33">
        <v>1</v>
      </c>
      <c r="E33">
        <v>2002</v>
      </c>
      <c r="F33" t="s">
        <v>40</v>
      </c>
      <c r="G33" t="s">
        <v>8</v>
      </c>
      <c r="H33">
        <v>9</v>
      </c>
      <c r="I33">
        <v>9</v>
      </c>
      <c r="J33">
        <v>9</v>
      </c>
      <c r="K33">
        <v>0</v>
      </c>
      <c r="L33">
        <v>9</v>
      </c>
      <c r="M33">
        <f t="shared" si="0"/>
        <v>1</v>
      </c>
      <c r="N33">
        <f t="shared" si="1"/>
        <v>0</v>
      </c>
      <c r="O33">
        <f t="shared" si="2"/>
        <v>0</v>
      </c>
      <c r="P33" s="3">
        <v>45724</v>
      </c>
      <c r="Q33" t="s">
        <v>136</v>
      </c>
      <c r="R33" t="s">
        <v>319</v>
      </c>
      <c r="S33" t="s">
        <v>331</v>
      </c>
      <c r="T33" t="str">
        <f t="shared" si="3"/>
        <v>Abel</v>
      </c>
      <c r="U33" t="str">
        <f t="shared" si="4"/>
        <v>Espriella</v>
      </c>
      <c r="V33" t="str">
        <f t="shared" si="5"/>
        <v>ESPRIELLA, Abel. Disponível em &lt;https://www.youtube.com/watch?v=iU14sNymdZA&gt;. Acesso em 08 de março de 2025.</v>
      </c>
    </row>
    <row r="34" spans="1:22" x14ac:dyDescent="0.35">
      <c r="A34" t="s">
        <v>38</v>
      </c>
      <c r="B34" t="s">
        <v>39</v>
      </c>
      <c r="C34">
        <v>73</v>
      </c>
      <c r="D34">
        <v>1</v>
      </c>
      <c r="E34">
        <v>2006</v>
      </c>
      <c r="F34" t="s">
        <v>41</v>
      </c>
      <c r="G34" t="s">
        <v>8</v>
      </c>
      <c r="H34">
        <v>9</v>
      </c>
      <c r="I34">
        <v>9</v>
      </c>
      <c r="J34">
        <v>9</v>
      </c>
      <c r="K34">
        <v>0</v>
      </c>
      <c r="L34">
        <v>9</v>
      </c>
      <c r="M34">
        <f t="shared" si="0"/>
        <v>1</v>
      </c>
      <c r="N34">
        <f t="shared" si="1"/>
        <v>0</v>
      </c>
      <c r="O34">
        <f t="shared" si="2"/>
        <v>0</v>
      </c>
      <c r="P34" s="3">
        <v>45634</v>
      </c>
      <c r="Q34" t="s">
        <v>136</v>
      </c>
      <c r="R34" t="s">
        <v>186</v>
      </c>
      <c r="S34" t="s">
        <v>187</v>
      </c>
      <c r="T34" t="str">
        <f t="shared" si="3"/>
        <v>Óscar</v>
      </c>
      <c r="U34" t="str">
        <f t="shared" si="4"/>
        <v>Sánchez</v>
      </c>
      <c r="V34" t="str">
        <f t="shared" si="5"/>
        <v>SÁNCHEZ, Óscar. Disponível em &lt;https://oscararias.cr/sitioweb/escojo-la-vida-la-democracia-y-el-desafio-de-cambiar-en-paz/&gt;. Acesso em 08 de dezembro de 2024.</v>
      </c>
    </row>
    <row r="35" spans="1:22" x14ac:dyDescent="0.35">
      <c r="A35" t="s">
        <v>38</v>
      </c>
      <c r="B35" t="s">
        <v>39</v>
      </c>
      <c r="C35">
        <v>73</v>
      </c>
      <c r="D35">
        <v>1</v>
      </c>
      <c r="E35">
        <v>2010</v>
      </c>
      <c r="F35" t="s">
        <v>42</v>
      </c>
      <c r="G35" t="s">
        <v>8</v>
      </c>
      <c r="H35">
        <v>9</v>
      </c>
      <c r="I35">
        <v>9</v>
      </c>
      <c r="J35">
        <v>9</v>
      </c>
      <c r="K35">
        <v>0</v>
      </c>
      <c r="L35">
        <v>9</v>
      </c>
      <c r="M35">
        <f t="shared" si="0"/>
        <v>1</v>
      </c>
      <c r="N35">
        <f t="shared" si="1"/>
        <v>0</v>
      </c>
      <c r="O35">
        <f t="shared" si="2"/>
        <v>0</v>
      </c>
      <c r="P35" s="3">
        <v>45724</v>
      </c>
      <c r="Q35" t="s">
        <v>136</v>
      </c>
      <c r="R35" t="s">
        <v>318</v>
      </c>
      <c r="S35" t="s">
        <v>317</v>
      </c>
      <c r="T35" t="str">
        <f t="shared" si="3"/>
        <v>Laura</v>
      </c>
      <c r="U35" t="str">
        <f t="shared" si="4"/>
        <v>Miranda</v>
      </c>
      <c r="V35" t="str">
        <f t="shared" si="5"/>
        <v>MIRANDA, Laura. Disponível em &lt;https://www.asamblea.go.cr/DYD/Fracci%C3%B3n_Liberaci%C3%B3n/Boletn%20La%20Voz%20Liberacionista/MAYO2010/discurso%20toma%20posesion.pdf&gt;. Acesso em 08 de março de 2025.</v>
      </c>
    </row>
    <row r="36" spans="1:22" x14ac:dyDescent="0.35">
      <c r="A36" t="s">
        <v>38</v>
      </c>
      <c r="B36" t="s">
        <v>39</v>
      </c>
      <c r="C36">
        <v>73</v>
      </c>
      <c r="D36">
        <v>1</v>
      </c>
      <c r="E36">
        <v>2014</v>
      </c>
      <c r="F36" t="s">
        <v>43</v>
      </c>
      <c r="G36" t="s">
        <v>8</v>
      </c>
      <c r="H36">
        <v>9</v>
      </c>
      <c r="I36">
        <v>9</v>
      </c>
      <c r="J36">
        <v>9</v>
      </c>
      <c r="K36">
        <v>0</v>
      </c>
      <c r="L36">
        <v>9</v>
      </c>
      <c r="M36">
        <f t="shared" si="0"/>
        <v>1</v>
      </c>
      <c r="N36">
        <f t="shared" si="1"/>
        <v>0</v>
      </c>
      <c r="O36">
        <f t="shared" si="2"/>
        <v>0</v>
      </c>
      <c r="P36" s="3">
        <v>45634</v>
      </c>
      <c r="Q36" t="s">
        <v>136</v>
      </c>
      <c r="R36" t="s">
        <v>185</v>
      </c>
      <c r="S36" t="s">
        <v>184</v>
      </c>
      <c r="T36" t="str">
        <f t="shared" si="3"/>
        <v>Luis</v>
      </c>
      <c r="U36" t="str">
        <f t="shared" si="4"/>
        <v>Rivera</v>
      </c>
      <c r="V36" t="str">
        <f t="shared" si="5"/>
        <v>RIVERA, Luis. Disponível em &lt;https://cambiopolitico.com/discurso-toma-de-posesion-luis-guillermo-solis/54625/&gt;. Acesso em 08 de dezembro de 2024.</v>
      </c>
    </row>
    <row r="37" spans="1:22" x14ac:dyDescent="0.35">
      <c r="A37" t="s">
        <v>38</v>
      </c>
      <c r="B37" t="s">
        <v>39</v>
      </c>
      <c r="C37">
        <v>73</v>
      </c>
      <c r="D37">
        <v>1</v>
      </c>
      <c r="E37">
        <v>2018</v>
      </c>
      <c r="F37" t="s">
        <v>44</v>
      </c>
      <c r="G37" t="s">
        <v>8</v>
      </c>
      <c r="H37">
        <v>9</v>
      </c>
      <c r="I37">
        <v>9</v>
      </c>
      <c r="J37">
        <v>9</v>
      </c>
      <c r="K37">
        <v>0</v>
      </c>
      <c r="L37">
        <v>9</v>
      </c>
      <c r="M37">
        <f t="shared" si="0"/>
        <v>1</v>
      </c>
      <c r="N37">
        <f t="shared" si="1"/>
        <v>0</v>
      </c>
      <c r="O37">
        <f t="shared" si="2"/>
        <v>0</v>
      </c>
      <c r="P37" s="3">
        <v>45634</v>
      </c>
      <c r="Q37" t="s">
        <v>136</v>
      </c>
      <c r="R37" t="s">
        <v>183</v>
      </c>
      <c r="S37" t="s">
        <v>182</v>
      </c>
      <c r="T37" t="str">
        <f t="shared" si="3"/>
        <v>Carlos</v>
      </c>
      <c r="U37" t="str">
        <f t="shared" si="4"/>
        <v>Quesada</v>
      </c>
      <c r="V37" t="str">
        <f t="shared" si="5"/>
        <v>QUESADA, Carlos. Disponível em &lt;https://www.asamblea.go.cr/sd/Mensajes%20Presidenciales/Discurso%20Toma%20Posesi%C3%B3n%202018%20C.%20Alvarado%20Quesada.pdf&gt;. Acesso em 08 de dezembro de 2024.</v>
      </c>
    </row>
    <row r="38" spans="1:22" x14ac:dyDescent="0.35">
      <c r="A38" t="s">
        <v>38</v>
      </c>
      <c r="B38" t="s">
        <v>39</v>
      </c>
      <c r="C38">
        <v>73</v>
      </c>
      <c r="D38">
        <v>1</v>
      </c>
      <c r="E38">
        <v>2022</v>
      </c>
      <c r="F38" t="s">
        <v>45</v>
      </c>
      <c r="G38" t="s">
        <v>8</v>
      </c>
      <c r="H38">
        <v>9</v>
      </c>
      <c r="I38">
        <v>9</v>
      </c>
      <c r="J38">
        <v>9</v>
      </c>
      <c r="K38">
        <v>9</v>
      </c>
      <c r="L38">
        <v>9</v>
      </c>
      <c r="M38">
        <f t="shared" si="0"/>
        <v>0</v>
      </c>
      <c r="N38">
        <f t="shared" si="1"/>
        <v>0</v>
      </c>
      <c r="O38">
        <f t="shared" si="2"/>
        <v>9</v>
      </c>
      <c r="P38" s="3">
        <v>45634</v>
      </c>
      <c r="Q38" t="s">
        <v>136</v>
      </c>
      <c r="R38" t="s">
        <v>181</v>
      </c>
      <c r="S38" t="s">
        <v>180</v>
      </c>
      <c r="T38" t="str">
        <f t="shared" si="3"/>
        <v>Rodrigo</v>
      </c>
      <c r="U38" t="str">
        <f t="shared" si="4"/>
        <v>Robles</v>
      </c>
      <c r="V38" t="str">
        <f t="shared" si="5"/>
        <v>ROBLES, Rodrigo. Disponível em &lt;https://delfino.cr/2022/05/este-es-nuestro-tiempo-discurso-de-investidura-del-presidente-rodrigo-chaves-robles&gt;. Acesso em 08 de dezembro de 2024.</v>
      </c>
    </row>
    <row r="39" spans="1:22" x14ac:dyDescent="0.35">
      <c r="A39" t="s">
        <v>46</v>
      </c>
      <c r="B39" t="s">
        <v>47</v>
      </c>
      <c r="C39">
        <v>114</v>
      </c>
      <c r="D39">
        <v>1</v>
      </c>
      <c r="E39">
        <v>2000</v>
      </c>
      <c r="F39" t="s">
        <v>189</v>
      </c>
      <c r="G39" t="s">
        <v>8</v>
      </c>
      <c r="H39">
        <v>9</v>
      </c>
      <c r="I39">
        <v>9</v>
      </c>
      <c r="J39">
        <v>9</v>
      </c>
      <c r="K39">
        <v>0</v>
      </c>
      <c r="L39">
        <v>9</v>
      </c>
      <c r="M39">
        <f t="shared" si="0"/>
        <v>1</v>
      </c>
      <c r="N39">
        <f t="shared" si="1"/>
        <v>0</v>
      </c>
      <c r="O39">
        <f t="shared" si="2"/>
        <v>0</v>
      </c>
      <c r="P39" s="3">
        <v>45641</v>
      </c>
      <c r="Q39" t="s">
        <v>136</v>
      </c>
      <c r="R39" t="s">
        <v>190</v>
      </c>
      <c r="S39" t="s">
        <v>191</v>
      </c>
      <c r="T39" t="str">
        <f t="shared" si="3"/>
        <v>Rafael</v>
      </c>
      <c r="U39" t="str">
        <f t="shared" si="4"/>
        <v>Domínguez</v>
      </c>
      <c r="V39" t="str">
        <f t="shared" si="5"/>
        <v>DOMÍNGUEZ, Rafael. Disponível em &lt;https://www.opd.org.do/images/PDF_ARTICULOS/Partidos_politicos/Discursos_presidenciales/Discurso-del-Excelentisimo-se%C3%B1or-Presidente-de-la-Republica-Hipolito-Mejia-en-ocasion-de-su-juramentacion-ante-el-Congreso-Nacional-como-Presidente.pdf&gt;. Acesso em 15 de dezembro de 2024.</v>
      </c>
    </row>
    <row r="40" spans="1:22" x14ac:dyDescent="0.35">
      <c r="A40" t="s">
        <v>46</v>
      </c>
      <c r="B40" t="s">
        <v>47</v>
      </c>
      <c r="C40">
        <v>114</v>
      </c>
      <c r="D40">
        <v>1</v>
      </c>
      <c r="E40">
        <v>2004</v>
      </c>
      <c r="F40" t="s">
        <v>48</v>
      </c>
      <c r="G40" t="s">
        <v>8</v>
      </c>
      <c r="H40">
        <v>9</v>
      </c>
      <c r="I40">
        <v>9</v>
      </c>
      <c r="J40">
        <v>9</v>
      </c>
      <c r="K40">
        <v>0</v>
      </c>
      <c r="L40">
        <v>9</v>
      </c>
      <c r="M40">
        <f t="shared" si="0"/>
        <v>1</v>
      </c>
      <c r="N40">
        <f t="shared" si="1"/>
        <v>0</v>
      </c>
      <c r="O40">
        <f t="shared" si="2"/>
        <v>0</v>
      </c>
      <c r="P40" s="3">
        <v>45641</v>
      </c>
      <c r="Q40" t="s">
        <v>136</v>
      </c>
      <c r="R40" t="s">
        <v>197</v>
      </c>
      <c r="S40" t="s">
        <v>196</v>
      </c>
      <c r="T40" t="str">
        <f t="shared" si="3"/>
        <v>Leonel</v>
      </c>
      <c r="U40" t="str">
        <f t="shared" si="4"/>
        <v>Reyna</v>
      </c>
      <c r="V40" t="str">
        <f t="shared" si="5"/>
        <v>REYNA, Leonel. Disponível em &lt;https://opac.pucmm.edu.do/virtuales/html/dominicanos2/leonel/discursotoma.pdf&gt;. Acesso em 15 de dezembro de 2024.</v>
      </c>
    </row>
    <row r="41" spans="1:22" x14ac:dyDescent="0.35">
      <c r="A41" t="s">
        <v>46</v>
      </c>
      <c r="B41" t="s">
        <v>47</v>
      </c>
      <c r="C41">
        <v>114</v>
      </c>
      <c r="D41">
        <v>2</v>
      </c>
      <c r="E41">
        <v>2008</v>
      </c>
      <c r="F41" t="s">
        <v>48</v>
      </c>
      <c r="G41" t="s">
        <v>8</v>
      </c>
      <c r="H41">
        <v>9</v>
      </c>
      <c r="I41">
        <v>9</v>
      </c>
      <c r="J41">
        <v>9</v>
      </c>
      <c r="K41">
        <v>0</v>
      </c>
      <c r="L41">
        <v>9</v>
      </c>
      <c r="M41">
        <f t="shared" si="0"/>
        <v>1</v>
      </c>
      <c r="N41">
        <f t="shared" si="1"/>
        <v>0</v>
      </c>
      <c r="O41">
        <f t="shared" si="2"/>
        <v>0</v>
      </c>
      <c r="P41" s="3">
        <v>45641</v>
      </c>
      <c r="Q41" t="s">
        <v>136</v>
      </c>
      <c r="R41" t="s">
        <v>192</v>
      </c>
      <c r="S41" t="s">
        <v>193</v>
      </c>
      <c r="T41" t="str">
        <f t="shared" si="3"/>
        <v>Leonel</v>
      </c>
      <c r="U41" t="str">
        <f t="shared" si="4"/>
        <v>Reyna</v>
      </c>
      <c r="V41" t="str">
        <f t="shared" si="5"/>
        <v>REYNA, Leonel. Disponível em &lt;https://www.opd.org.do/images/PDF_ARTICULOS/Partidos_politicos/Discursos_presidenciales/Discurso-del-presidente-Leonel-Fernandez-con-motivo-de-la-no-reeleccion-como-candidato-presidencial.pdf&gt;. Acesso em 15 de dezembro de 2024.</v>
      </c>
    </row>
    <row r="42" spans="1:22" x14ac:dyDescent="0.35">
      <c r="A42" t="s">
        <v>46</v>
      </c>
      <c r="B42" t="s">
        <v>47</v>
      </c>
      <c r="C42">
        <v>114</v>
      </c>
      <c r="D42">
        <v>1</v>
      </c>
      <c r="E42">
        <v>2012</v>
      </c>
      <c r="F42" t="s">
        <v>49</v>
      </c>
      <c r="G42" t="s">
        <v>8</v>
      </c>
      <c r="H42">
        <v>9</v>
      </c>
      <c r="I42">
        <v>9</v>
      </c>
      <c r="J42">
        <v>9</v>
      </c>
      <c r="K42">
        <v>0</v>
      </c>
      <c r="L42">
        <v>9</v>
      </c>
      <c r="M42">
        <f t="shared" si="0"/>
        <v>1</v>
      </c>
      <c r="N42">
        <f t="shared" si="1"/>
        <v>0</v>
      </c>
      <c r="O42">
        <f t="shared" si="2"/>
        <v>0</v>
      </c>
      <c r="P42" s="3">
        <v>45641</v>
      </c>
      <c r="Q42" t="s">
        <v>136</v>
      </c>
      <c r="R42" t="s">
        <v>194</v>
      </c>
      <c r="S42" t="s">
        <v>195</v>
      </c>
      <c r="T42" t="str">
        <f t="shared" si="3"/>
        <v>Danilo</v>
      </c>
      <c r="U42" t="str">
        <f t="shared" si="4"/>
        <v>Sánchez</v>
      </c>
      <c r="V42" t="str">
        <f t="shared" si="5"/>
        <v>SÁNCHEZ, Danilo. Disponível em &lt;https://www.opd.org.do/images/PDF_ARTICULOS/Partidos_politicos/Discursos_presidenciales/discurso-de-toma-de-posesion-del-excelentisimo-senor-presidente-de-la-republica-dominicana-lic-danilo-medina-sanchez.pdf&gt;. Acesso em 15 de dezembro de 2024.</v>
      </c>
    </row>
    <row r="43" spans="1:22" x14ac:dyDescent="0.35">
      <c r="A43" t="s">
        <v>46</v>
      </c>
      <c r="B43" t="s">
        <v>47</v>
      </c>
      <c r="C43">
        <v>114</v>
      </c>
      <c r="D43">
        <v>2</v>
      </c>
      <c r="E43">
        <v>2016</v>
      </c>
      <c r="F43" t="s">
        <v>49</v>
      </c>
      <c r="G43" t="s">
        <v>8</v>
      </c>
      <c r="H43">
        <v>9</v>
      </c>
      <c r="I43">
        <v>9</v>
      </c>
      <c r="J43">
        <v>9</v>
      </c>
      <c r="K43">
        <v>0</v>
      </c>
      <c r="L43">
        <v>9</v>
      </c>
      <c r="M43">
        <f t="shared" si="0"/>
        <v>1</v>
      </c>
      <c r="N43">
        <f t="shared" si="1"/>
        <v>0</v>
      </c>
      <c r="O43">
        <f t="shared" si="2"/>
        <v>0</v>
      </c>
      <c r="P43" s="3">
        <v>45641</v>
      </c>
      <c r="Q43" t="s">
        <v>136</v>
      </c>
      <c r="R43" t="s">
        <v>199</v>
      </c>
      <c r="S43" t="s">
        <v>198</v>
      </c>
      <c r="T43" t="str">
        <f t="shared" si="3"/>
        <v>Danilo</v>
      </c>
      <c r="U43" t="str">
        <f t="shared" si="4"/>
        <v>Sánchez</v>
      </c>
      <c r="V43" t="str">
        <f t="shared" si="5"/>
        <v>SÁNCHEZ, Danilo. Disponível em &lt;https://gobiernodanilomedina.do/discurso/discurso-de-juramentacion-del-presidente-danilo-medina-agosto-2016&gt;. Acesso em 15 de dezembro de 2024.</v>
      </c>
    </row>
    <row r="44" spans="1:22" x14ac:dyDescent="0.35">
      <c r="A44" t="s">
        <v>46</v>
      </c>
      <c r="B44" t="s">
        <v>47</v>
      </c>
      <c r="C44">
        <v>114</v>
      </c>
      <c r="D44">
        <v>1</v>
      </c>
      <c r="E44">
        <v>2020</v>
      </c>
      <c r="F44" t="s">
        <v>50</v>
      </c>
      <c r="G44" t="s">
        <v>8</v>
      </c>
      <c r="H44">
        <v>9</v>
      </c>
      <c r="I44">
        <v>9</v>
      </c>
      <c r="J44">
        <v>9</v>
      </c>
      <c r="K44">
        <v>0</v>
      </c>
      <c r="L44">
        <v>9</v>
      </c>
      <c r="M44">
        <f t="shared" si="0"/>
        <v>1</v>
      </c>
      <c r="N44">
        <f t="shared" si="1"/>
        <v>0</v>
      </c>
      <c r="O44">
        <f t="shared" si="2"/>
        <v>0</v>
      </c>
      <c r="P44" s="3">
        <v>45641</v>
      </c>
      <c r="Q44" t="s">
        <v>136</v>
      </c>
      <c r="R44" t="s">
        <v>201</v>
      </c>
      <c r="S44" t="s">
        <v>200</v>
      </c>
      <c r="T44" t="str">
        <f t="shared" si="3"/>
        <v>Luis</v>
      </c>
      <c r="U44" t="str">
        <f t="shared" si="4"/>
        <v>Abinader</v>
      </c>
      <c r="V44" t="str">
        <f t="shared" si="5"/>
        <v>ABINADER, Luis. Disponível em &lt;https://presidencia.gob.do/discursos/discurso-del-presidente-luis-abinader-en-el-acto-de-toma-de-posesion-ante-la-asamblea&gt;. Acesso em 15 de dezembro de 2024.</v>
      </c>
    </row>
    <row r="45" spans="1:22" x14ac:dyDescent="0.35">
      <c r="A45" t="s">
        <v>51</v>
      </c>
      <c r="B45" t="s">
        <v>52</v>
      </c>
      <c r="C45">
        <v>75</v>
      </c>
      <c r="D45">
        <v>1</v>
      </c>
      <c r="E45">
        <v>2000</v>
      </c>
      <c r="F45" t="s">
        <v>53</v>
      </c>
      <c r="G45" t="s">
        <v>8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5</v>
      </c>
      <c r="N45">
        <f t="shared" si="1"/>
        <v>0</v>
      </c>
      <c r="O45">
        <f t="shared" si="2"/>
        <v>0</v>
      </c>
      <c r="P45" s="3"/>
      <c r="T45" t="str">
        <f t="shared" si="3"/>
        <v>Gustavo</v>
      </c>
      <c r="U45" t="str">
        <f t="shared" si="4"/>
        <v>Bejarano</v>
      </c>
      <c r="V45" t="str">
        <f t="shared" si="5"/>
        <v/>
      </c>
    </row>
    <row r="46" spans="1:22" x14ac:dyDescent="0.35">
      <c r="A46" t="s">
        <v>51</v>
      </c>
      <c r="B46" t="s">
        <v>52</v>
      </c>
      <c r="C46">
        <v>75</v>
      </c>
      <c r="D46">
        <v>1</v>
      </c>
      <c r="E46">
        <v>2003</v>
      </c>
      <c r="F46" t="s">
        <v>304</v>
      </c>
      <c r="G46" t="s">
        <v>8</v>
      </c>
      <c r="H46">
        <v>1</v>
      </c>
      <c r="I46">
        <v>1</v>
      </c>
      <c r="J46">
        <v>0</v>
      </c>
      <c r="K46">
        <v>1</v>
      </c>
      <c r="L46">
        <v>0</v>
      </c>
      <c r="M46">
        <f t="shared" si="0"/>
        <v>5</v>
      </c>
      <c r="N46">
        <f t="shared" si="1"/>
        <v>3</v>
      </c>
      <c r="O46">
        <f t="shared" si="2"/>
        <v>1</v>
      </c>
      <c r="P46" s="3">
        <v>45724</v>
      </c>
      <c r="Q46" t="s">
        <v>136</v>
      </c>
      <c r="R46" t="s">
        <v>321</v>
      </c>
      <c r="S46" t="s">
        <v>320</v>
      </c>
      <c r="T46" t="str">
        <f t="shared" si="3"/>
        <v>Lucio</v>
      </c>
      <c r="U46" t="str">
        <f t="shared" si="4"/>
        <v>Borbúa</v>
      </c>
      <c r="V46" t="str">
        <f t="shared" si="5"/>
        <v>BORBÚA, Lucio. Disponível em &lt;http://www.llacta.org/organiz/coms/com232.htm&gt;. Acesso em 08 de março de 2025.</v>
      </c>
    </row>
    <row r="47" spans="1:22" x14ac:dyDescent="0.35">
      <c r="A47" t="s">
        <v>51</v>
      </c>
      <c r="B47" t="s">
        <v>52</v>
      </c>
      <c r="C47">
        <v>75</v>
      </c>
      <c r="D47">
        <v>1</v>
      </c>
      <c r="E47">
        <v>2005</v>
      </c>
      <c r="F47" t="s">
        <v>54</v>
      </c>
      <c r="G47" t="s">
        <v>8</v>
      </c>
      <c r="H47">
        <v>0</v>
      </c>
      <c r="I47">
        <v>0</v>
      </c>
      <c r="J47">
        <v>0</v>
      </c>
      <c r="K47">
        <v>0</v>
      </c>
      <c r="L47">
        <v>0</v>
      </c>
      <c r="M47">
        <f t="shared" si="0"/>
        <v>5</v>
      </c>
      <c r="N47">
        <f t="shared" si="1"/>
        <v>0</v>
      </c>
      <c r="O47">
        <f t="shared" si="2"/>
        <v>0</v>
      </c>
      <c r="P47" s="3"/>
      <c r="T47" t="str">
        <f t="shared" si="3"/>
        <v>Luis</v>
      </c>
      <c r="U47" t="str">
        <f t="shared" si="4"/>
        <v>González</v>
      </c>
      <c r="V47" t="str">
        <f t="shared" si="5"/>
        <v/>
      </c>
    </row>
    <row r="48" spans="1:22" x14ac:dyDescent="0.35">
      <c r="A48" t="s">
        <v>51</v>
      </c>
      <c r="B48" t="s">
        <v>52</v>
      </c>
      <c r="C48">
        <v>75</v>
      </c>
      <c r="D48">
        <v>1</v>
      </c>
      <c r="E48">
        <v>2007</v>
      </c>
      <c r="F48" t="s">
        <v>55</v>
      </c>
      <c r="G48" t="s">
        <v>8</v>
      </c>
      <c r="H48">
        <v>1</v>
      </c>
      <c r="I48">
        <v>1</v>
      </c>
      <c r="J48">
        <v>1</v>
      </c>
      <c r="K48">
        <v>1</v>
      </c>
      <c r="L48">
        <v>1</v>
      </c>
      <c r="M48">
        <f t="shared" si="0"/>
        <v>5</v>
      </c>
      <c r="N48">
        <f t="shared" si="1"/>
        <v>5</v>
      </c>
      <c r="O48">
        <f t="shared" si="2"/>
        <v>1</v>
      </c>
      <c r="P48" s="3">
        <v>45641</v>
      </c>
      <c r="Q48" t="s">
        <v>136</v>
      </c>
      <c r="R48" t="s">
        <v>203</v>
      </c>
      <c r="S48" t="s">
        <v>202</v>
      </c>
      <c r="T48" t="str">
        <f t="shared" si="3"/>
        <v>Rafael</v>
      </c>
      <c r="U48" t="str">
        <f t="shared" si="4"/>
        <v>Delgado</v>
      </c>
      <c r="V48" t="str">
        <f t="shared" si="5"/>
        <v>DELGADO, Rafael. Disponível em &lt;https://www.presidencia.gob.ec/wp-content/uploads/downloads/2015/07/Posesion-Presidente-2007.pdf&gt;. Acesso em 15 de dezembro de 2024.</v>
      </c>
    </row>
    <row r="49" spans="1:22" x14ac:dyDescent="0.35">
      <c r="A49" t="s">
        <v>51</v>
      </c>
      <c r="B49" t="s">
        <v>52</v>
      </c>
      <c r="C49">
        <v>75</v>
      </c>
      <c r="D49">
        <v>2</v>
      </c>
      <c r="E49">
        <v>2009</v>
      </c>
      <c r="F49" t="s">
        <v>55</v>
      </c>
      <c r="G49" t="s">
        <v>8</v>
      </c>
      <c r="H49">
        <v>1</v>
      </c>
      <c r="I49">
        <v>1</v>
      </c>
      <c r="J49">
        <v>1</v>
      </c>
      <c r="K49">
        <v>1</v>
      </c>
      <c r="L49">
        <v>1</v>
      </c>
      <c r="M49">
        <f t="shared" si="0"/>
        <v>5</v>
      </c>
      <c r="N49">
        <f t="shared" si="1"/>
        <v>5</v>
      </c>
      <c r="O49">
        <f t="shared" si="2"/>
        <v>1</v>
      </c>
      <c r="P49" s="3">
        <v>45641</v>
      </c>
      <c r="Q49" t="s">
        <v>136</v>
      </c>
      <c r="R49" t="s">
        <v>205</v>
      </c>
      <c r="S49" t="s">
        <v>204</v>
      </c>
      <c r="T49" t="str">
        <f t="shared" si="3"/>
        <v>Rafael</v>
      </c>
      <c r="U49" t="str">
        <f t="shared" si="4"/>
        <v>Delgado</v>
      </c>
      <c r="V49" t="str">
        <f t="shared" si="5"/>
        <v>DELGADO, Rafael. Disponível em &lt;https://www.presidencia.gob.ec/wp-content/uploads/downloads/2013/10/10-10-09-Discurso_posesion_Presidencial.pdf&gt;. Acesso em 15 de dezembro de 2024.</v>
      </c>
    </row>
    <row r="50" spans="1:22" x14ac:dyDescent="0.35">
      <c r="A50" t="s">
        <v>51</v>
      </c>
      <c r="B50" t="s">
        <v>52</v>
      </c>
      <c r="C50">
        <v>75</v>
      </c>
      <c r="D50">
        <v>3</v>
      </c>
      <c r="E50">
        <v>2013</v>
      </c>
      <c r="F50" t="s">
        <v>55</v>
      </c>
      <c r="G50" t="s">
        <v>8</v>
      </c>
      <c r="H50">
        <v>1</v>
      </c>
      <c r="I50">
        <v>1</v>
      </c>
      <c r="J50">
        <v>1</v>
      </c>
      <c r="K50">
        <v>1</v>
      </c>
      <c r="L50">
        <v>1</v>
      </c>
      <c r="M50">
        <f t="shared" si="0"/>
        <v>5</v>
      </c>
      <c r="N50">
        <f t="shared" si="1"/>
        <v>5</v>
      </c>
      <c r="O50">
        <f t="shared" si="2"/>
        <v>1</v>
      </c>
      <c r="P50" s="3">
        <v>45641</v>
      </c>
      <c r="Q50" t="s">
        <v>136</v>
      </c>
      <c r="R50" t="s">
        <v>206</v>
      </c>
      <c r="S50" t="s">
        <v>207</v>
      </c>
      <c r="T50" t="str">
        <f t="shared" si="3"/>
        <v>Rafael</v>
      </c>
      <c r="U50" t="str">
        <f t="shared" si="4"/>
        <v>Delgado</v>
      </c>
      <c r="V50" t="str">
        <f t="shared" si="5"/>
        <v>DELGADO, Rafael. Disponível em &lt;https://www.youtube.com/watch?v=N0X9rDrO0ik&gt;. Acesso em 15 de dezembro de 2024.</v>
      </c>
    </row>
    <row r="51" spans="1:22" x14ac:dyDescent="0.35">
      <c r="A51" t="s">
        <v>51</v>
      </c>
      <c r="B51" t="s">
        <v>52</v>
      </c>
      <c r="C51">
        <v>75</v>
      </c>
      <c r="D51">
        <v>1</v>
      </c>
      <c r="E51">
        <v>2017</v>
      </c>
      <c r="F51" t="s">
        <v>56</v>
      </c>
      <c r="G51" t="s">
        <v>8</v>
      </c>
      <c r="H51">
        <v>0</v>
      </c>
      <c r="I51">
        <v>0</v>
      </c>
      <c r="J51">
        <v>0</v>
      </c>
      <c r="K51">
        <v>0</v>
      </c>
      <c r="L51">
        <v>0</v>
      </c>
      <c r="M51">
        <f t="shared" si="0"/>
        <v>5</v>
      </c>
      <c r="N51">
        <f t="shared" si="1"/>
        <v>0</v>
      </c>
      <c r="O51">
        <f t="shared" si="2"/>
        <v>0</v>
      </c>
      <c r="P51" s="3">
        <v>45641</v>
      </c>
      <c r="Q51" t="s">
        <v>136</v>
      </c>
      <c r="R51" t="s">
        <v>208</v>
      </c>
      <c r="S51" t="s">
        <v>209</v>
      </c>
      <c r="T51" t="str">
        <f t="shared" si="3"/>
        <v>Lenín</v>
      </c>
      <c r="U51" t="str">
        <f t="shared" si="4"/>
        <v>Garcés</v>
      </c>
      <c r="V51" t="str">
        <f t="shared" si="5"/>
        <v>GARCÉS, Lenín. Disponível em &lt;https://www.presidencia.gob.ec/wp-content/uploads/downloads/2017/06/2017.05.24-DISCURSO-POSESI%C3%93N-ANTE-LA-ASAMBLEA-NACIONAL.pdf&gt;. Acesso em 15 de dezembro de 2024.</v>
      </c>
    </row>
    <row r="52" spans="1:22" x14ac:dyDescent="0.35">
      <c r="A52" t="s">
        <v>51</v>
      </c>
      <c r="B52" t="s">
        <v>52</v>
      </c>
      <c r="C52">
        <v>75</v>
      </c>
      <c r="D52">
        <v>1</v>
      </c>
      <c r="E52">
        <v>2021</v>
      </c>
      <c r="F52" t="s">
        <v>57</v>
      </c>
      <c r="G52" t="s">
        <v>8</v>
      </c>
      <c r="H52">
        <v>9</v>
      </c>
      <c r="I52">
        <v>9</v>
      </c>
      <c r="J52">
        <v>9</v>
      </c>
      <c r="K52">
        <v>9</v>
      </c>
      <c r="L52">
        <v>9</v>
      </c>
      <c r="M52">
        <f t="shared" si="0"/>
        <v>0</v>
      </c>
      <c r="N52">
        <f t="shared" si="1"/>
        <v>0</v>
      </c>
      <c r="O52">
        <f t="shared" si="2"/>
        <v>9</v>
      </c>
      <c r="P52" s="3">
        <v>45641</v>
      </c>
      <c r="Q52" t="s">
        <v>136</v>
      </c>
      <c r="R52" t="s">
        <v>210</v>
      </c>
      <c r="S52" t="s">
        <v>211</v>
      </c>
      <c r="T52" t="str">
        <f t="shared" si="3"/>
        <v>Guillermo</v>
      </c>
      <c r="U52" t="str">
        <f t="shared" si="4"/>
        <v>Mendoza</v>
      </c>
      <c r="V52" t="str">
        <f t="shared" si="5"/>
        <v>MENDOZA, Guillermo. Disponível em &lt;https://www.presidencia.gob.ec/wp-content/uploads/downloads/2021/05/2021.05.24-POSESION-PRESIDENTE-LASSO.pdf&gt;. Acesso em 15 de dezembro de 2024.</v>
      </c>
    </row>
    <row r="53" spans="1:22" x14ac:dyDescent="0.35">
      <c r="A53" t="s">
        <v>51</v>
      </c>
      <c r="B53" t="s">
        <v>52</v>
      </c>
      <c r="C53">
        <v>75</v>
      </c>
      <c r="D53">
        <v>1</v>
      </c>
      <c r="E53">
        <v>2023</v>
      </c>
      <c r="F53" t="s">
        <v>58</v>
      </c>
      <c r="G53" t="s">
        <v>8</v>
      </c>
      <c r="H53">
        <v>9</v>
      </c>
      <c r="I53">
        <v>9</v>
      </c>
      <c r="J53">
        <v>9</v>
      </c>
      <c r="K53">
        <v>9</v>
      </c>
      <c r="L53">
        <v>9</v>
      </c>
      <c r="M53">
        <f t="shared" si="0"/>
        <v>0</v>
      </c>
      <c r="N53">
        <f t="shared" si="1"/>
        <v>0</v>
      </c>
      <c r="O53">
        <f t="shared" si="2"/>
        <v>9</v>
      </c>
      <c r="P53" s="3">
        <v>45641</v>
      </c>
      <c r="Q53" t="s">
        <v>136</v>
      </c>
      <c r="R53" t="s">
        <v>213</v>
      </c>
      <c r="S53" t="s">
        <v>212</v>
      </c>
      <c r="T53" t="str">
        <f t="shared" si="3"/>
        <v>Daniel</v>
      </c>
      <c r="U53" t="str">
        <f t="shared" si="4"/>
        <v>Noboa</v>
      </c>
      <c r="V53" t="str">
        <f t="shared" si="5"/>
        <v>NOBOA, Daniel. Disponível em &lt;https://www.presidencia.gob.ec/wp-content/uploads/downloads/2023/11/2023.11.23-POSESION-PRESIDENTE-DANIEL-NOBOA.pdf&gt;. Acesso em 15 de dezembro de 2024.</v>
      </c>
    </row>
    <row r="54" spans="1:22" x14ac:dyDescent="0.35">
      <c r="A54" t="s">
        <v>59</v>
      </c>
      <c r="B54" t="s">
        <v>60</v>
      </c>
      <c r="C54">
        <v>22</v>
      </c>
      <c r="D54">
        <v>1</v>
      </c>
      <c r="E54">
        <v>2004</v>
      </c>
      <c r="F54" t="s">
        <v>61</v>
      </c>
      <c r="G54" t="s">
        <v>8</v>
      </c>
      <c r="H54">
        <v>9</v>
      </c>
      <c r="I54">
        <v>9</v>
      </c>
      <c r="J54">
        <v>9</v>
      </c>
      <c r="K54">
        <v>0</v>
      </c>
      <c r="L54">
        <v>9</v>
      </c>
      <c r="M54">
        <f t="shared" si="0"/>
        <v>1</v>
      </c>
      <c r="N54">
        <f t="shared" si="1"/>
        <v>0</v>
      </c>
      <c r="O54">
        <f t="shared" si="2"/>
        <v>0</v>
      </c>
      <c r="P54" s="3">
        <v>45641</v>
      </c>
      <c r="Q54" t="s">
        <v>136</v>
      </c>
      <c r="R54" t="s">
        <v>214</v>
      </c>
      <c r="S54" t="s">
        <v>215</v>
      </c>
      <c r="T54" t="str">
        <f t="shared" si="3"/>
        <v>Elías</v>
      </c>
      <c r="U54" t="str">
        <f t="shared" si="4"/>
        <v>González</v>
      </c>
      <c r="V54" t="str">
        <f t="shared" si="5"/>
        <v>GONZÁLEZ, Elías. Disponível em &lt;http://luiseduardoaguilarvasquez.blogspot.com/2016/05/discurso-toma-de-posesion-presidente-de.html&gt;. Acesso em 15 de dezembro de 2024.</v>
      </c>
    </row>
    <row r="55" spans="1:22" x14ac:dyDescent="0.35">
      <c r="A55" t="s">
        <v>59</v>
      </c>
      <c r="B55" t="s">
        <v>60</v>
      </c>
      <c r="C55">
        <v>22</v>
      </c>
      <c r="D55">
        <v>1</v>
      </c>
      <c r="E55">
        <v>2009</v>
      </c>
      <c r="F55" t="s">
        <v>62</v>
      </c>
      <c r="G55" t="s">
        <v>8</v>
      </c>
      <c r="H55">
        <v>9</v>
      </c>
      <c r="I55">
        <v>9</v>
      </c>
      <c r="J55">
        <v>9</v>
      </c>
      <c r="K55">
        <v>0</v>
      </c>
      <c r="L55">
        <v>9</v>
      </c>
      <c r="M55">
        <f t="shared" si="0"/>
        <v>1</v>
      </c>
      <c r="N55">
        <f t="shared" si="1"/>
        <v>0</v>
      </c>
      <c r="O55">
        <f t="shared" si="2"/>
        <v>0</v>
      </c>
      <c r="P55" s="3">
        <v>45641</v>
      </c>
      <c r="Q55" t="s">
        <v>136</v>
      </c>
      <c r="R55" t="s">
        <v>217</v>
      </c>
      <c r="S55" t="s">
        <v>216</v>
      </c>
      <c r="T55" t="str">
        <f t="shared" si="3"/>
        <v>Carlos</v>
      </c>
      <c r="U55" t="str">
        <f t="shared" si="4"/>
        <v>Cartagena</v>
      </c>
      <c r="V55" t="str">
        <f t="shared" si="5"/>
        <v>CARTAGENA, Carlos. Disponível em &lt;http://especiales.laprensagrafica.com/2011/funes2doaniversario/wp-content/uploads/2011/05/1-Toma-de-posesi%C3%B3n-presidente-Funes.pdf&gt;. Acesso em 15 de dezembro de 2024.</v>
      </c>
    </row>
    <row r="56" spans="1:22" x14ac:dyDescent="0.35">
      <c r="A56" t="s">
        <v>59</v>
      </c>
      <c r="B56" t="s">
        <v>60</v>
      </c>
      <c r="C56">
        <v>22</v>
      </c>
      <c r="D56">
        <v>1</v>
      </c>
      <c r="E56">
        <v>2014</v>
      </c>
      <c r="F56" t="s">
        <v>63</v>
      </c>
      <c r="G56" t="s">
        <v>8</v>
      </c>
      <c r="H56">
        <v>9</v>
      </c>
      <c r="I56">
        <v>9</v>
      </c>
      <c r="J56">
        <v>9</v>
      </c>
      <c r="K56">
        <v>0</v>
      </c>
      <c r="L56">
        <v>9</v>
      </c>
      <c r="M56">
        <f t="shared" si="0"/>
        <v>1</v>
      </c>
      <c r="N56">
        <f t="shared" si="1"/>
        <v>0</v>
      </c>
      <c r="O56">
        <f t="shared" si="2"/>
        <v>0</v>
      </c>
      <c r="P56" s="3">
        <v>45724</v>
      </c>
      <c r="Q56" t="s">
        <v>136</v>
      </c>
      <c r="R56" t="s">
        <v>323</v>
      </c>
      <c r="S56" t="s">
        <v>322</v>
      </c>
      <c r="T56" t="str">
        <f t="shared" si="3"/>
        <v>Salvador</v>
      </c>
      <c r="U56" t="str">
        <f t="shared" si="4"/>
        <v>Cerén</v>
      </c>
      <c r="V56" t="str">
        <f t="shared" si="5"/>
        <v>CERÉN, Salvador. Disponível em &lt;https://www.youtube.com/watch?v=8tjYfNYpZlQ&gt;. Acesso em 08 de março de 2025.</v>
      </c>
    </row>
    <row r="57" spans="1:22" x14ac:dyDescent="0.35">
      <c r="A57" t="s">
        <v>59</v>
      </c>
      <c r="B57" t="s">
        <v>60</v>
      </c>
      <c r="C57">
        <v>22</v>
      </c>
      <c r="D57">
        <v>1</v>
      </c>
      <c r="E57">
        <v>2019</v>
      </c>
      <c r="F57" t="s">
        <v>64</v>
      </c>
      <c r="G57" t="s">
        <v>8</v>
      </c>
      <c r="H57">
        <v>9</v>
      </c>
      <c r="I57">
        <v>9</v>
      </c>
      <c r="J57">
        <v>9</v>
      </c>
      <c r="K57">
        <v>0</v>
      </c>
      <c r="L57">
        <v>9</v>
      </c>
      <c r="M57">
        <f t="shared" si="0"/>
        <v>1</v>
      </c>
      <c r="N57">
        <f t="shared" si="1"/>
        <v>0</v>
      </c>
      <c r="O57">
        <f t="shared" si="2"/>
        <v>0</v>
      </c>
      <c r="P57" s="3">
        <v>45641</v>
      </c>
      <c r="Q57" t="s">
        <v>136</v>
      </c>
      <c r="R57" t="s">
        <v>218</v>
      </c>
      <c r="S57" t="s">
        <v>219</v>
      </c>
      <c r="T57" t="str">
        <f t="shared" si="3"/>
        <v>Nayib</v>
      </c>
      <c r="U57" t="str">
        <f t="shared" si="4"/>
        <v>Ortez</v>
      </c>
      <c r="V57" t="str">
        <f t="shared" si="5"/>
        <v>ORTEZ, Nayib. Disponível em &lt;https://www.presidencia.gob.sv/wp-content/uploads/2020/09/Toma-de-posesi%C3%B3n-01-06-2019-1.pdf&gt;. Acesso em 15 de dezembro de 2024.</v>
      </c>
    </row>
    <row r="58" spans="1:22" x14ac:dyDescent="0.35">
      <c r="A58" t="s">
        <v>65</v>
      </c>
      <c r="B58" t="s">
        <v>66</v>
      </c>
      <c r="C58">
        <v>78</v>
      </c>
      <c r="D58">
        <v>1</v>
      </c>
      <c r="E58">
        <v>2000</v>
      </c>
      <c r="F58" t="s">
        <v>67</v>
      </c>
      <c r="G58" t="s">
        <v>8</v>
      </c>
      <c r="H58">
        <v>9</v>
      </c>
      <c r="I58">
        <v>9</v>
      </c>
      <c r="J58">
        <v>9</v>
      </c>
      <c r="K58">
        <v>0</v>
      </c>
      <c r="L58">
        <v>9</v>
      </c>
      <c r="M58">
        <f t="shared" si="0"/>
        <v>1</v>
      </c>
      <c r="N58">
        <f t="shared" si="1"/>
        <v>0</v>
      </c>
      <c r="O58">
        <f t="shared" si="2"/>
        <v>0</v>
      </c>
      <c r="P58" s="3">
        <v>45642</v>
      </c>
      <c r="Q58" t="s">
        <v>136</v>
      </c>
      <c r="R58" t="s">
        <v>220</v>
      </c>
      <c r="S58" t="s">
        <v>221</v>
      </c>
      <c r="T58" t="str">
        <f t="shared" si="3"/>
        <v>Alfonso</v>
      </c>
      <c r="U58" t="str">
        <f t="shared" si="4"/>
        <v>Cabrera</v>
      </c>
      <c r="V58" t="str">
        <f t="shared" si="5"/>
        <v>CABRERA, Alfonso. Disponível em &lt;https://www.plazapublica.com.gt/sites/default/files/2000_alfonso_portillo.pdf&gt;. Acesso em 16 de dezembro de 2024.</v>
      </c>
    </row>
    <row r="59" spans="1:22" x14ac:dyDescent="0.35">
      <c r="A59" t="s">
        <v>65</v>
      </c>
      <c r="B59" t="s">
        <v>66</v>
      </c>
      <c r="C59">
        <v>78</v>
      </c>
      <c r="D59">
        <v>1</v>
      </c>
      <c r="E59">
        <v>2004</v>
      </c>
      <c r="F59" t="s">
        <v>68</v>
      </c>
      <c r="G59" t="s">
        <v>8</v>
      </c>
      <c r="H59">
        <v>9</v>
      </c>
      <c r="I59">
        <v>9</v>
      </c>
      <c r="J59">
        <v>9</v>
      </c>
      <c r="K59">
        <v>0</v>
      </c>
      <c r="L59">
        <v>9</v>
      </c>
      <c r="M59">
        <f t="shared" si="0"/>
        <v>1</v>
      </c>
      <c r="N59">
        <f t="shared" si="1"/>
        <v>0</v>
      </c>
      <c r="O59">
        <f t="shared" si="2"/>
        <v>0</v>
      </c>
      <c r="P59" s="3">
        <v>45642</v>
      </c>
      <c r="Q59" t="s">
        <v>136</v>
      </c>
      <c r="R59" t="s">
        <v>222</v>
      </c>
      <c r="S59" t="s">
        <v>223</v>
      </c>
      <c r="T59" t="str">
        <f t="shared" si="3"/>
        <v>Óscar</v>
      </c>
      <c r="U59" t="str">
        <f t="shared" si="4"/>
        <v>Perdomo</v>
      </c>
      <c r="V59" t="str">
        <f t="shared" si="5"/>
        <v>PERDOMO, Óscar. Disponível em &lt;https://www.plazapublica.com.gt/sites/default/files/2004_oscar_berger.pdf&gt;. Acesso em 16 de dezembro de 2024.</v>
      </c>
    </row>
    <row r="60" spans="1:22" x14ac:dyDescent="0.35">
      <c r="A60" t="s">
        <v>65</v>
      </c>
      <c r="B60" t="s">
        <v>66</v>
      </c>
      <c r="C60">
        <v>78</v>
      </c>
      <c r="D60">
        <v>1</v>
      </c>
      <c r="E60">
        <v>2008</v>
      </c>
      <c r="F60" t="s">
        <v>69</v>
      </c>
      <c r="G60" t="s">
        <v>8</v>
      </c>
      <c r="H60">
        <v>9</v>
      </c>
      <c r="I60">
        <v>9</v>
      </c>
      <c r="J60">
        <v>9</v>
      </c>
      <c r="K60">
        <v>0</v>
      </c>
      <c r="L60">
        <v>9</v>
      </c>
      <c r="M60">
        <f t="shared" si="0"/>
        <v>1</v>
      </c>
      <c r="N60">
        <f t="shared" si="1"/>
        <v>0</v>
      </c>
      <c r="O60">
        <f t="shared" si="2"/>
        <v>0</v>
      </c>
      <c r="P60" s="3">
        <v>45642</v>
      </c>
      <c r="Q60" t="s">
        <v>136</v>
      </c>
      <c r="R60" t="s">
        <v>224</v>
      </c>
      <c r="S60" t="s">
        <v>225</v>
      </c>
      <c r="T60" t="str">
        <f t="shared" si="3"/>
        <v>Álvaro</v>
      </c>
      <c r="U60" t="str">
        <f t="shared" si="4"/>
        <v>Caballeros</v>
      </c>
      <c r="V60" t="str">
        <f t="shared" si="5"/>
        <v>CABALLEROS, Álvaro. Disponível em &lt;https://www.plazapublica.com.gt/sites/default/files/2008_alvaro_colom.pdf&gt;. Acesso em 16 de dezembro de 2024.</v>
      </c>
    </row>
    <row r="61" spans="1:22" x14ac:dyDescent="0.35">
      <c r="A61" t="s">
        <v>65</v>
      </c>
      <c r="B61" t="s">
        <v>66</v>
      </c>
      <c r="C61">
        <v>78</v>
      </c>
      <c r="D61">
        <v>1</v>
      </c>
      <c r="E61">
        <v>2012</v>
      </c>
      <c r="F61" t="s">
        <v>226</v>
      </c>
      <c r="G61" t="s">
        <v>8</v>
      </c>
      <c r="H61">
        <v>9</v>
      </c>
      <c r="I61">
        <v>9</v>
      </c>
      <c r="J61">
        <v>9</v>
      </c>
      <c r="K61">
        <v>0</v>
      </c>
      <c r="L61">
        <v>9</v>
      </c>
      <c r="M61">
        <f t="shared" si="0"/>
        <v>1</v>
      </c>
      <c r="N61">
        <f t="shared" si="1"/>
        <v>0</v>
      </c>
      <c r="O61">
        <f t="shared" si="2"/>
        <v>0</v>
      </c>
      <c r="P61" s="3">
        <v>45642</v>
      </c>
      <c r="Q61" t="s">
        <v>136</v>
      </c>
      <c r="R61" t="s">
        <v>227</v>
      </c>
      <c r="S61" t="s">
        <v>228</v>
      </c>
      <c r="T61" t="str">
        <f t="shared" si="3"/>
        <v>Otto</v>
      </c>
      <c r="U61" t="str">
        <f t="shared" si="4"/>
        <v>Molina</v>
      </c>
      <c r="V61" t="str">
        <f t="shared" si="5"/>
        <v>MOLINA, Otto. Disponível em &lt;https://www.plazapublica.com.gt/sites/default/files/2012_otto_perez.pdf&gt;. Acesso em 16 de dezembro de 2024.</v>
      </c>
    </row>
    <row r="62" spans="1:22" x14ac:dyDescent="0.35">
      <c r="A62" t="s">
        <v>65</v>
      </c>
      <c r="B62" t="s">
        <v>66</v>
      </c>
      <c r="C62">
        <v>78</v>
      </c>
      <c r="D62">
        <v>1</v>
      </c>
      <c r="E62">
        <v>2015</v>
      </c>
      <c r="F62" t="s">
        <v>70</v>
      </c>
      <c r="G62" t="s">
        <v>8</v>
      </c>
      <c r="H62">
        <v>9</v>
      </c>
      <c r="I62">
        <v>9</v>
      </c>
      <c r="J62">
        <v>9</v>
      </c>
      <c r="K62">
        <v>0</v>
      </c>
      <c r="L62">
        <v>9</v>
      </c>
      <c r="M62">
        <f t="shared" si="0"/>
        <v>1</v>
      </c>
      <c r="N62">
        <f t="shared" si="1"/>
        <v>0</v>
      </c>
      <c r="O62">
        <f t="shared" si="2"/>
        <v>0</v>
      </c>
      <c r="P62" s="3">
        <v>45642</v>
      </c>
      <c r="Q62" t="s">
        <v>136</v>
      </c>
      <c r="R62" t="s">
        <v>229</v>
      </c>
      <c r="S62" t="s">
        <v>230</v>
      </c>
      <c r="T62" t="str">
        <f t="shared" si="3"/>
        <v>Héctor</v>
      </c>
      <c r="U62" t="str">
        <f t="shared" si="4"/>
        <v>Aguirre</v>
      </c>
      <c r="V62" t="str">
        <f t="shared" si="5"/>
        <v>AGUIRRE, Héctor. Disponível em &lt;https://www.plazapublica.com.gt/sites/default/files/2015_alejandro_maldonado.pdf&gt;. Acesso em 16 de dezembro de 2024.</v>
      </c>
    </row>
    <row r="63" spans="1:22" x14ac:dyDescent="0.35">
      <c r="A63" t="s">
        <v>65</v>
      </c>
      <c r="B63" t="s">
        <v>66</v>
      </c>
      <c r="C63">
        <v>78</v>
      </c>
      <c r="D63">
        <v>1</v>
      </c>
      <c r="E63">
        <v>2016</v>
      </c>
      <c r="F63" t="s">
        <v>71</v>
      </c>
      <c r="G63" t="s">
        <v>8</v>
      </c>
      <c r="H63">
        <v>9</v>
      </c>
      <c r="I63">
        <v>9</v>
      </c>
      <c r="J63">
        <v>9</v>
      </c>
      <c r="K63">
        <v>0</v>
      </c>
      <c r="L63">
        <v>9</v>
      </c>
      <c r="M63">
        <f t="shared" si="0"/>
        <v>1</v>
      </c>
      <c r="N63">
        <f t="shared" si="1"/>
        <v>0</v>
      </c>
      <c r="O63">
        <f t="shared" si="2"/>
        <v>0</v>
      </c>
      <c r="P63" s="3">
        <v>45642</v>
      </c>
      <c r="Q63" t="s">
        <v>136</v>
      </c>
      <c r="R63" t="s">
        <v>232</v>
      </c>
      <c r="S63" t="s">
        <v>231</v>
      </c>
      <c r="T63" t="str">
        <f t="shared" si="3"/>
        <v>Jimmy</v>
      </c>
      <c r="U63" t="str">
        <f t="shared" si="4"/>
        <v>Cabrera</v>
      </c>
      <c r="V63" t="str">
        <f t="shared" si="5"/>
        <v>CABRERA, Jimmy. Disponível em &lt;https://www.plazapublica.com.gt/sites/default/files/2016_jimmy_morales.pdf&gt;. Acesso em 16 de dezembro de 2024.</v>
      </c>
    </row>
    <row r="64" spans="1:22" x14ac:dyDescent="0.35">
      <c r="A64" t="s">
        <v>65</v>
      </c>
      <c r="B64" t="s">
        <v>66</v>
      </c>
      <c r="C64">
        <v>78</v>
      </c>
      <c r="D64">
        <v>1</v>
      </c>
      <c r="E64">
        <v>2020</v>
      </c>
      <c r="F64" t="s">
        <v>72</v>
      </c>
      <c r="G64" t="s">
        <v>8</v>
      </c>
      <c r="H64">
        <v>9</v>
      </c>
      <c r="I64">
        <v>9</v>
      </c>
      <c r="J64">
        <v>9</v>
      </c>
      <c r="K64">
        <v>0</v>
      </c>
      <c r="L64">
        <v>9</v>
      </c>
      <c r="M64">
        <f t="shared" si="0"/>
        <v>1</v>
      </c>
      <c r="N64">
        <f t="shared" si="1"/>
        <v>0</v>
      </c>
      <c r="O64">
        <f t="shared" si="2"/>
        <v>0</v>
      </c>
      <c r="P64" s="3">
        <v>45642</v>
      </c>
      <c r="Q64" t="s">
        <v>136</v>
      </c>
      <c r="R64" t="s">
        <v>233</v>
      </c>
      <c r="S64" t="s">
        <v>234</v>
      </c>
      <c r="T64" t="str">
        <f t="shared" si="3"/>
        <v>Alejandro</v>
      </c>
      <c r="U64" t="str">
        <f t="shared" si="4"/>
        <v>Falla</v>
      </c>
      <c r="V64" t="str">
        <f t="shared" si="5"/>
        <v>FALLA, Alejandro. Disponível em &lt;https://www.plazapublica.com.gt/sites/default/files/2020_alejandro_giammattei.pdf&gt;. Acesso em 16 de dezembro de 2024.</v>
      </c>
    </row>
    <row r="65" spans="1:22" x14ac:dyDescent="0.35">
      <c r="A65" t="s">
        <v>73</v>
      </c>
      <c r="B65" t="s">
        <v>74</v>
      </c>
      <c r="C65">
        <v>26</v>
      </c>
      <c r="D65">
        <v>3</v>
      </c>
      <c r="E65">
        <v>2006</v>
      </c>
      <c r="F65" t="s">
        <v>75</v>
      </c>
      <c r="G65" t="s">
        <v>8</v>
      </c>
      <c r="H65">
        <v>9</v>
      </c>
      <c r="I65">
        <v>9</v>
      </c>
      <c r="J65">
        <v>9</v>
      </c>
      <c r="K65">
        <v>9</v>
      </c>
      <c r="L65">
        <v>9</v>
      </c>
      <c r="M65">
        <f t="shared" si="0"/>
        <v>0</v>
      </c>
      <c r="N65">
        <f t="shared" si="1"/>
        <v>0</v>
      </c>
      <c r="O65">
        <f t="shared" si="2"/>
        <v>9</v>
      </c>
      <c r="P65" s="3"/>
      <c r="T65" t="str">
        <f t="shared" si="3"/>
        <v>René</v>
      </c>
      <c r="U65" t="str">
        <f t="shared" si="4"/>
        <v>Préval</v>
      </c>
      <c r="V65" t="str">
        <f t="shared" si="5"/>
        <v/>
      </c>
    </row>
    <row r="66" spans="1:22" x14ac:dyDescent="0.35">
      <c r="A66" t="s">
        <v>73</v>
      </c>
      <c r="B66" t="s">
        <v>74</v>
      </c>
      <c r="C66">
        <v>26</v>
      </c>
      <c r="D66">
        <v>1</v>
      </c>
      <c r="E66">
        <v>2011</v>
      </c>
      <c r="F66" t="s">
        <v>76</v>
      </c>
      <c r="G66" t="s">
        <v>8</v>
      </c>
      <c r="H66">
        <v>9</v>
      </c>
      <c r="I66">
        <v>9</v>
      </c>
      <c r="J66">
        <v>9</v>
      </c>
      <c r="K66">
        <v>9</v>
      </c>
      <c r="L66">
        <v>9</v>
      </c>
      <c r="M66">
        <f t="shared" si="0"/>
        <v>0</v>
      </c>
      <c r="N66">
        <f t="shared" si="1"/>
        <v>0</v>
      </c>
      <c r="O66">
        <f t="shared" si="2"/>
        <v>9</v>
      </c>
      <c r="P66" s="3"/>
      <c r="T66" t="str">
        <f t="shared" si="3"/>
        <v>Michel</v>
      </c>
      <c r="U66" t="str">
        <f t="shared" si="4"/>
        <v>Martelly</v>
      </c>
      <c r="V66" t="str">
        <f t="shared" si="5"/>
        <v/>
      </c>
    </row>
    <row r="67" spans="1:22" x14ac:dyDescent="0.35">
      <c r="A67" t="s">
        <v>73</v>
      </c>
      <c r="B67" t="s">
        <v>74</v>
      </c>
      <c r="C67">
        <v>26</v>
      </c>
      <c r="D67">
        <v>1</v>
      </c>
      <c r="E67">
        <v>2016</v>
      </c>
      <c r="F67" t="s">
        <v>77</v>
      </c>
      <c r="G67" t="s">
        <v>8</v>
      </c>
      <c r="H67">
        <v>9</v>
      </c>
      <c r="I67">
        <v>9</v>
      </c>
      <c r="J67">
        <v>9</v>
      </c>
      <c r="K67">
        <v>9</v>
      </c>
      <c r="L67">
        <v>9</v>
      </c>
      <c r="M67">
        <f t="shared" ref="M67:M111" si="6">COUNTIF(H67:L67,"&lt;&gt;9")</f>
        <v>0</v>
      </c>
      <c r="N67">
        <f t="shared" ref="N67:N111" si="7">SUMIF(H67:L67,"&lt;&gt;9")</f>
        <v>0</v>
      </c>
      <c r="O67">
        <f t="shared" ref="O67:O111" si="8">IFERROR(ROUND(N67/M67,0),9)</f>
        <v>9</v>
      </c>
      <c r="P67" s="3"/>
      <c r="T67" t="str">
        <f t="shared" ref="T67:T111" si="9">_xlfn.TEXTBEFORE(F67," ")</f>
        <v>Jocelerme</v>
      </c>
      <c r="U67" t="str">
        <f t="shared" ref="U67:U111" si="10">_xlfn.TEXTAFTER(F67," ",LEN(F67)-LEN(SUBSTITUTE(F67," ","")))</f>
        <v>Privert</v>
      </c>
      <c r="V67" t="str">
        <f t="shared" ref="V67:V111" si="11">IF(Q67="","",_xlfn.CONCAT(UPPER(U67),", ",T67,". Disponível em &lt;",R67,"&gt;. Acesso em ",TEXT(P67,"dd ""de"" mmmm ""de"" aaaa"),"."))</f>
        <v/>
      </c>
    </row>
    <row r="68" spans="1:22" x14ac:dyDescent="0.35">
      <c r="A68" t="s">
        <v>78</v>
      </c>
      <c r="B68" t="s">
        <v>79</v>
      </c>
      <c r="C68">
        <v>27</v>
      </c>
      <c r="D68">
        <v>1</v>
      </c>
      <c r="E68">
        <v>2002</v>
      </c>
      <c r="F68" t="s">
        <v>80</v>
      </c>
      <c r="G68" t="s">
        <v>8</v>
      </c>
      <c r="H68">
        <v>9</v>
      </c>
      <c r="I68">
        <v>9</v>
      </c>
      <c r="J68">
        <v>9</v>
      </c>
      <c r="K68">
        <v>0</v>
      </c>
      <c r="L68">
        <v>9</v>
      </c>
      <c r="M68">
        <f t="shared" si="6"/>
        <v>1</v>
      </c>
      <c r="N68">
        <f t="shared" si="7"/>
        <v>0</v>
      </c>
      <c r="O68">
        <f t="shared" si="8"/>
        <v>0</v>
      </c>
      <c r="P68" s="3"/>
      <c r="T68" t="str">
        <f t="shared" si="9"/>
        <v>Ricardo</v>
      </c>
      <c r="U68" t="str">
        <f t="shared" si="10"/>
        <v>Joest</v>
      </c>
      <c r="V68" t="str">
        <f t="shared" si="11"/>
        <v/>
      </c>
    </row>
    <row r="69" spans="1:22" x14ac:dyDescent="0.35">
      <c r="A69" t="s">
        <v>78</v>
      </c>
      <c r="B69" t="s">
        <v>79</v>
      </c>
      <c r="C69">
        <v>27</v>
      </c>
      <c r="D69">
        <v>1</v>
      </c>
      <c r="E69">
        <v>2006</v>
      </c>
      <c r="F69" t="s">
        <v>235</v>
      </c>
      <c r="G69" t="s">
        <v>8</v>
      </c>
      <c r="H69">
        <v>9</v>
      </c>
      <c r="I69">
        <v>9</v>
      </c>
      <c r="J69">
        <v>9</v>
      </c>
      <c r="K69">
        <v>0</v>
      </c>
      <c r="L69">
        <v>9</v>
      </c>
      <c r="M69">
        <f t="shared" si="6"/>
        <v>1</v>
      </c>
      <c r="N69">
        <f t="shared" si="7"/>
        <v>0</v>
      </c>
      <c r="O69">
        <f t="shared" si="8"/>
        <v>0</v>
      </c>
      <c r="P69" s="3"/>
      <c r="T69" t="str">
        <f t="shared" si="9"/>
        <v>José</v>
      </c>
      <c r="U69" t="str">
        <f t="shared" si="10"/>
        <v>Rosales</v>
      </c>
      <c r="V69" t="str">
        <f t="shared" si="11"/>
        <v/>
      </c>
    </row>
    <row r="70" spans="1:22" x14ac:dyDescent="0.35">
      <c r="A70" t="s">
        <v>78</v>
      </c>
      <c r="B70" t="s">
        <v>79</v>
      </c>
      <c r="C70">
        <v>27</v>
      </c>
      <c r="D70">
        <v>1</v>
      </c>
      <c r="E70">
        <v>2009</v>
      </c>
      <c r="F70" t="s">
        <v>81</v>
      </c>
      <c r="G70" t="s">
        <v>8</v>
      </c>
      <c r="H70">
        <v>9</v>
      </c>
      <c r="I70">
        <v>9</v>
      </c>
      <c r="J70">
        <v>9</v>
      </c>
      <c r="K70">
        <v>0</v>
      </c>
      <c r="L70">
        <v>9</v>
      </c>
      <c r="M70">
        <f t="shared" si="6"/>
        <v>1</v>
      </c>
      <c r="N70">
        <f t="shared" si="7"/>
        <v>0</v>
      </c>
      <c r="O70">
        <f t="shared" si="8"/>
        <v>0</v>
      </c>
      <c r="P70" s="3"/>
      <c r="T70" t="str">
        <f t="shared" si="9"/>
        <v>Roberto</v>
      </c>
      <c r="U70" t="str">
        <f t="shared" si="10"/>
        <v>Baín</v>
      </c>
      <c r="V70" t="str">
        <f t="shared" si="11"/>
        <v/>
      </c>
    </row>
    <row r="71" spans="1:22" x14ac:dyDescent="0.35">
      <c r="A71" t="s">
        <v>78</v>
      </c>
      <c r="B71" t="s">
        <v>79</v>
      </c>
      <c r="C71">
        <v>27</v>
      </c>
      <c r="D71">
        <v>1</v>
      </c>
      <c r="E71">
        <v>2010</v>
      </c>
      <c r="F71" t="s">
        <v>82</v>
      </c>
      <c r="G71" t="s">
        <v>8</v>
      </c>
      <c r="H71">
        <v>9</v>
      </c>
      <c r="I71">
        <v>9</v>
      </c>
      <c r="J71">
        <v>9</v>
      </c>
      <c r="K71">
        <v>0</v>
      </c>
      <c r="L71">
        <v>9</v>
      </c>
      <c r="M71">
        <f t="shared" si="6"/>
        <v>1</v>
      </c>
      <c r="N71">
        <f t="shared" si="7"/>
        <v>0</v>
      </c>
      <c r="O71">
        <f t="shared" si="8"/>
        <v>0</v>
      </c>
      <c r="P71" s="3"/>
      <c r="T71" t="str">
        <f t="shared" si="9"/>
        <v>Porfirio</v>
      </c>
      <c r="U71" t="str">
        <f t="shared" si="10"/>
        <v>Sosa</v>
      </c>
      <c r="V71" t="str">
        <f t="shared" si="11"/>
        <v/>
      </c>
    </row>
    <row r="72" spans="1:22" x14ac:dyDescent="0.35">
      <c r="A72" t="s">
        <v>78</v>
      </c>
      <c r="B72" t="s">
        <v>79</v>
      </c>
      <c r="C72">
        <v>27</v>
      </c>
      <c r="D72">
        <v>1</v>
      </c>
      <c r="E72">
        <v>2014</v>
      </c>
      <c r="F72" t="s">
        <v>83</v>
      </c>
      <c r="G72" t="s">
        <v>8</v>
      </c>
      <c r="H72">
        <v>9</v>
      </c>
      <c r="I72">
        <v>9</v>
      </c>
      <c r="J72">
        <v>9</v>
      </c>
      <c r="K72">
        <v>0</v>
      </c>
      <c r="L72">
        <v>9</v>
      </c>
      <c r="M72">
        <f t="shared" si="6"/>
        <v>1</v>
      </c>
      <c r="N72">
        <f t="shared" si="7"/>
        <v>0</v>
      </c>
      <c r="O72">
        <f t="shared" si="8"/>
        <v>0</v>
      </c>
      <c r="P72" s="3">
        <v>45642</v>
      </c>
      <c r="Q72" t="s">
        <v>136</v>
      </c>
      <c r="R72" t="s">
        <v>242</v>
      </c>
      <c r="S72" t="s">
        <v>241</v>
      </c>
      <c r="T72" t="str">
        <f t="shared" si="9"/>
        <v>Juan</v>
      </c>
      <c r="U72" t="str">
        <f t="shared" si="10"/>
        <v>Hernández</v>
      </c>
      <c r="V72" t="str">
        <f t="shared" si="11"/>
        <v>HERNÁNDEZ, Juan. Disponível em &lt;https://www.youtube.com/watch?v=RjQYExlBvsQ&gt;. Acesso em 16 de dezembro de 2024.</v>
      </c>
    </row>
    <row r="73" spans="1:22" x14ac:dyDescent="0.35">
      <c r="A73" t="s">
        <v>78</v>
      </c>
      <c r="B73" t="s">
        <v>79</v>
      </c>
      <c r="C73">
        <v>27</v>
      </c>
      <c r="D73">
        <v>2</v>
      </c>
      <c r="E73">
        <v>2018</v>
      </c>
      <c r="F73" t="s">
        <v>83</v>
      </c>
      <c r="G73" t="s">
        <v>8</v>
      </c>
      <c r="H73">
        <v>9</v>
      </c>
      <c r="I73">
        <v>9</v>
      </c>
      <c r="J73">
        <v>9</v>
      </c>
      <c r="K73">
        <v>0</v>
      </c>
      <c r="L73">
        <v>9</v>
      </c>
      <c r="M73">
        <f t="shared" si="6"/>
        <v>1</v>
      </c>
      <c r="N73">
        <f t="shared" si="7"/>
        <v>0</v>
      </c>
      <c r="O73">
        <f t="shared" si="8"/>
        <v>0</v>
      </c>
      <c r="P73" s="3">
        <v>45642</v>
      </c>
      <c r="Q73" t="s">
        <v>136</v>
      </c>
      <c r="R73" t="s">
        <v>240</v>
      </c>
      <c r="S73" t="s">
        <v>239</v>
      </c>
      <c r="T73" t="str">
        <f t="shared" si="9"/>
        <v>Juan</v>
      </c>
      <c r="U73" t="str">
        <f t="shared" si="10"/>
        <v>Hernández</v>
      </c>
      <c r="V73" t="str">
        <f t="shared" si="11"/>
        <v>HERNÁNDEZ, Juan. Disponível em &lt;https://www.youtube.com/watch?v=74W23vgXTkk&gt;. Acesso em 16 de dezembro de 2024.</v>
      </c>
    </row>
    <row r="74" spans="1:22" x14ac:dyDescent="0.35">
      <c r="A74" t="s">
        <v>78</v>
      </c>
      <c r="B74" t="s">
        <v>79</v>
      </c>
      <c r="C74">
        <v>27</v>
      </c>
      <c r="D74">
        <v>1</v>
      </c>
      <c r="E74">
        <v>2022</v>
      </c>
      <c r="F74" t="s">
        <v>236</v>
      </c>
      <c r="G74" t="s">
        <v>8</v>
      </c>
      <c r="H74">
        <v>9</v>
      </c>
      <c r="I74">
        <v>9</v>
      </c>
      <c r="J74">
        <v>9</v>
      </c>
      <c r="K74">
        <v>9</v>
      </c>
      <c r="L74">
        <v>9</v>
      </c>
      <c r="M74">
        <f t="shared" si="6"/>
        <v>0</v>
      </c>
      <c r="N74">
        <f t="shared" si="7"/>
        <v>0</v>
      </c>
      <c r="O74">
        <f t="shared" si="8"/>
        <v>9</v>
      </c>
      <c r="P74" s="3">
        <v>45642</v>
      </c>
      <c r="Q74" t="s">
        <v>136</v>
      </c>
      <c r="R74" t="s">
        <v>237</v>
      </c>
      <c r="S74" t="s">
        <v>238</v>
      </c>
      <c r="T74" t="str">
        <f t="shared" si="9"/>
        <v>Iris</v>
      </c>
      <c r="U74" t="str">
        <f t="shared" si="10"/>
        <v>Sarmiento</v>
      </c>
      <c r="V74" t="str">
        <f t="shared" si="11"/>
        <v>SARMIENTO, Iris. Disponível em &lt;https://sedesol.gob.hn/discurso-de-toma-de-posesion-de-la-presidenta-xiomara-castro/&gt;. Acesso em 16 de dezembro de 2024.</v>
      </c>
    </row>
    <row r="75" spans="1:22" x14ac:dyDescent="0.35">
      <c r="A75" t="s">
        <v>84</v>
      </c>
      <c r="B75" t="s">
        <v>85</v>
      </c>
      <c r="C75">
        <v>3</v>
      </c>
      <c r="D75">
        <v>1</v>
      </c>
      <c r="E75">
        <v>2000</v>
      </c>
      <c r="F75" t="s">
        <v>86</v>
      </c>
      <c r="G75" t="s">
        <v>8</v>
      </c>
      <c r="H75">
        <v>0</v>
      </c>
      <c r="I75">
        <v>0</v>
      </c>
      <c r="J75">
        <v>9</v>
      </c>
      <c r="K75">
        <v>0</v>
      </c>
      <c r="L75">
        <v>0</v>
      </c>
      <c r="M75">
        <f t="shared" si="6"/>
        <v>4</v>
      </c>
      <c r="N75">
        <f t="shared" si="7"/>
        <v>0</v>
      </c>
      <c r="O75">
        <f t="shared" si="8"/>
        <v>0</v>
      </c>
      <c r="P75" s="3">
        <v>45642</v>
      </c>
      <c r="Q75" t="s">
        <v>136</v>
      </c>
      <c r="R75" t="s">
        <v>243</v>
      </c>
      <c r="S75" t="s">
        <v>244</v>
      </c>
      <c r="T75" t="str">
        <f t="shared" si="9"/>
        <v>Vicente</v>
      </c>
      <c r="U75" t="str">
        <f t="shared" si="10"/>
        <v>Quesada</v>
      </c>
      <c r="V75" t="str">
        <f t="shared" si="11"/>
        <v>QUESADA, Vicente. Disponível em &lt;https://www.memoriapoliticademexico.org/Textos/7CRumbo/2000DVF.html&gt;. Acesso em 16 de dezembro de 2024.</v>
      </c>
    </row>
    <row r="76" spans="1:22" x14ac:dyDescent="0.35">
      <c r="A76" t="s">
        <v>84</v>
      </c>
      <c r="B76" t="s">
        <v>85</v>
      </c>
      <c r="C76">
        <v>3</v>
      </c>
      <c r="D76">
        <v>1</v>
      </c>
      <c r="E76">
        <v>2006</v>
      </c>
      <c r="F76" t="s">
        <v>87</v>
      </c>
      <c r="G76" t="s">
        <v>8</v>
      </c>
      <c r="H76">
        <v>0</v>
      </c>
      <c r="I76">
        <v>0</v>
      </c>
      <c r="J76">
        <v>9</v>
      </c>
      <c r="K76">
        <v>0</v>
      </c>
      <c r="L76">
        <v>0</v>
      </c>
      <c r="M76">
        <f t="shared" si="6"/>
        <v>4</v>
      </c>
      <c r="N76">
        <f t="shared" si="7"/>
        <v>0</v>
      </c>
      <c r="O76">
        <f t="shared" si="8"/>
        <v>0</v>
      </c>
      <c r="P76" s="3">
        <v>45642</v>
      </c>
      <c r="Q76" t="s">
        <v>136</v>
      </c>
      <c r="R76" t="s">
        <v>246</v>
      </c>
      <c r="S76" t="s">
        <v>245</v>
      </c>
      <c r="T76" t="str">
        <f t="shared" si="9"/>
        <v>Felipe</v>
      </c>
      <c r="U76" t="str">
        <f t="shared" si="10"/>
        <v>Hinojosa</v>
      </c>
      <c r="V76" t="str">
        <f t="shared" si="11"/>
        <v>HINOJOSA, Felipe. Disponível em &lt;https://repositorioinstitucional.buap.mx/items/589303e1-176a-403f-b115-a5df41f857f8&gt;. Acesso em 16 de dezembro de 2024.</v>
      </c>
    </row>
    <row r="77" spans="1:22" x14ac:dyDescent="0.35">
      <c r="A77" t="s">
        <v>84</v>
      </c>
      <c r="B77" t="s">
        <v>85</v>
      </c>
      <c r="C77">
        <v>3</v>
      </c>
      <c r="D77">
        <v>1</v>
      </c>
      <c r="E77">
        <v>2012</v>
      </c>
      <c r="F77" t="s">
        <v>88</v>
      </c>
      <c r="G77" t="s">
        <v>8</v>
      </c>
      <c r="H77">
        <v>0</v>
      </c>
      <c r="I77">
        <v>0</v>
      </c>
      <c r="J77">
        <v>9</v>
      </c>
      <c r="K77">
        <v>0</v>
      </c>
      <c r="L77">
        <v>0</v>
      </c>
      <c r="M77">
        <f t="shared" si="6"/>
        <v>4</v>
      </c>
      <c r="N77">
        <f t="shared" si="7"/>
        <v>0</v>
      </c>
      <c r="O77">
        <f t="shared" si="8"/>
        <v>0</v>
      </c>
      <c r="P77" s="3">
        <v>45642</v>
      </c>
      <c r="Q77" t="s">
        <v>136</v>
      </c>
      <c r="R77" t="s">
        <v>248</v>
      </c>
      <c r="S77" t="s">
        <v>247</v>
      </c>
      <c r="T77" t="str">
        <f t="shared" si="9"/>
        <v>Enrique</v>
      </c>
      <c r="U77" t="str">
        <f t="shared" si="10"/>
        <v>Nieto</v>
      </c>
      <c r="V77" t="str">
        <f t="shared" si="11"/>
        <v>NIETO, Enrique. Disponível em &lt;https://www.excelsior.com.mx/2012/12/01/nacional/872692&gt;. Acesso em 16 de dezembro de 2024.</v>
      </c>
    </row>
    <row r="78" spans="1:22" x14ac:dyDescent="0.35">
      <c r="A78" t="s">
        <v>84</v>
      </c>
      <c r="B78" t="s">
        <v>85</v>
      </c>
      <c r="C78">
        <v>3</v>
      </c>
      <c r="D78">
        <v>1</v>
      </c>
      <c r="E78">
        <v>2018</v>
      </c>
      <c r="F78" t="s">
        <v>89</v>
      </c>
      <c r="G78" t="s">
        <v>8</v>
      </c>
      <c r="H78">
        <v>1</v>
      </c>
      <c r="I78">
        <v>1</v>
      </c>
      <c r="J78">
        <v>9</v>
      </c>
      <c r="K78">
        <v>1</v>
      </c>
      <c r="L78">
        <v>1</v>
      </c>
      <c r="M78">
        <f t="shared" si="6"/>
        <v>4</v>
      </c>
      <c r="N78">
        <f t="shared" si="7"/>
        <v>4</v>
      </c>
      <c r="O78">
        <f t="shared" si="8"/>
        <v>1</v>
      </c>
      <c r="P78" s="3">
        <v>45642</v>
      </c>
      <c r="Q78" t="s">
        <v>136</v>
      </c>
      <c r="R78" t="s">
        <v>249</v>
      </c>
      <c r="S78" t="s">
        <v>250</v>
      </c>
      <c r="T78" t="str">
        <f t="shared" si="9"/>
        <v>Andrés</v>
      </c>
      <c r="U78" t="str">
        <f t="shared" si="10"/>
        <v>Obrador</v>
      </c>
      <c r="V78" t="str">
        <f t="shared" si="11"/>
        <v>OBRADOR, Andrés. Disponível em &lt;https://expansion.mx/nacional/2018/12/01/discurso-integro-de-lopez-obrador-como-presidente&gt;. Acesso em 16 de dezembro de 2024.</v>
      </c>
    </row>
    <row r="79" spans="1:22" x14ac:dyDescent="0.35">
      <c r="A79" t="s">
        <v>90</v>
      </c>
      <c r="B79" t="s">
        <v>91</v>
      </c>
      <c r="C79">
        <v>59</v>
      </c>
      <c r="D79">
        <v>1</v>
      </c>
      <c r="E79">
        <v>2002</v>
      </c>
      <c r="F79" t="s">
        <v>92</v>
      </c>
      <c r="G79" t="s">
        <v>8</v>
      </c>
      <c r="H79">
        <v>9</v>
      </c>
      <c r="I79">
        <v>0</v>
      </c>
      <c r="J79">
        <v>0</v>
      </c>
      <c r="K79">
        <v>0</v>
      </c>
      <c r="L79">
        <v>0</v>
      </c>
      <c r="M79">
        <f t="shared" si="6"/>
        <v>4</v>
      </c>
      <c r="N79">
        <f t="shared" si="7"/>
        <v>0</v>
      </c>
      <c r="O79">
        <f t="shared" si="8"/>
        <v>0</v>
      </c>
      <c r="P79" s="3">
        <v>45654</v>
      </c>
      <c r="Q79" t="s">
        <v>136</v>
      </c>
      <c r="R79" t="s">
        <v>252</v>
      </c>
      <c r="S79" t="s">
        <v>251</v>
      </c>
      <c r="T79" t="str">
        <f t="shared" si="9"/>
        <v>Enrique</v>
      </c>
      <c r="U79" t="str">
        <f t="shared" si="10"/>
        <v>Geyer</v>
      </c>
      <c r="V79" t="str">
        <f t="shared" si="11"/>
        <v>GEYER, Enrique. Disponível em &lt;https://sajurin.enriquebolanos.org/docs/Mensaje%20Inaugural%20de%20Toma%20de%20Posesion%20-%2010%20Ene%2002.pdf&gt;. Acesso em 28 de dezembro de 2024.</v>
      </c>
    </row>
    <row r="80" spans="1:22" x14ac:dyDescent="0.35">
      <c r="A80" t="s">
        <v>90</v>
      </c>
      <c r="B80" t="s">
        <v>91</v>
      </c>
      <c r="C80">
        <v>59</v>
      </c>
      <c r="D80">
        <v>1</v>
      </c>
      <c r="E80">
        <v>2007</v>
      </c>
      <c r="F80" t="s">
        <v>93</v>
      </c>
      <c r="G80" t="s">
        <v>8</v>
      </c>
      <c r="H80">
        <v>9</v>
      </c>
      <c r="I80">
        <v>1</v>
      </c>
      <c r="J80">
        <v>1</v>
      </c>
      <c r="K80">
        <v>1</v>
      </c>
      <c r="L80">
        <v>1</v>
      </c>
      <c r="M80">
        <f t="shared" si="6"/>
        <v>4</v>
      </c>
      <c r="N80">
        <f t="shared" si="7"/>
        <v>4</v>
      </c>
      <c r="O80">
        <f t="shared" si="8"/>
        <v>1</v>
      </c>
      <c r="P80" s="3"/>
      <c r="T80" t="str">
        <f t="shared" si="9"/>
        <v>José</v>
      </c>
      <c r="U80" t="str">
        <f t="shared" si="10"/>
        <v>Saavedra</v>
      </c>
      <c r="V80" t="str">
        <f t="shared" si="11"/>
        <v/>
      </c>
    </row>
    <row r="81" spans="1:22" x14ac:dyDescent="0.35">
      <c r="A81" t="s">
        <v>90</v>
      </c>
      <c r="B81" t="s">
        <v>91</v>
      </c>
      <c r="C81">
        <v>59</v>
      </c>
      <c r="D81">
        <v>2</v>
      </c>
      <c r="E81">
        <v>2012</v>
      </c>
      <c r="F81" t="s">
        <v>93</v>
      </c>
      <c r="G81" t="s">
        <v>8</v>
      </c>
      <c r="H81">
        <v>9</v>
      </c>
      <c r="I81">
        <v>1</v>
      </c>
      <c r="J81">
        <v>1</v>
      </c>
      <c r="K81">
        <v>1</v>
      </c>
      <c r="L81">
        <v>1</v>
      </c>
      <c r="M81">
        <f t="shared" si="6"/>
        <v>4</v>
      </c>
      <c r="N81">
        <f t="shared" si="7"/>
        <v>4</v>
      </c>
      <c r="O81">
        <f t="shared" si="8"/>
        <v>1</v>
      </c>
      <c r="P81" s="3"/>
      <c r="T81" t="str">
        <f t="shared" si="9"/>
        <v>José</v>
      </c>
      <c r="U81" t="str">
        <f t="shared" si="10"/>
        <v>Saavedra</v>
      </c>
      <c r="V81" t="str">
        <f t="shared" si="11"/>
        <v/>
      </c>
    </row>
    <row r="82" spans="1:22" x14ac:dyDescent="0.35">
      <c r="A82" t="s">
        <v>90</v>
      </c>
      <c r="B82" t="s">
        <v>91</v>
      </c>
      <c r="C82">
        <v>59</v>
      </c>
      <c r="D82">
        <v>3</v>
      </c>
      <c r="E82">
        <v>2017</v>
      </c>
      <c r="F82" t="s">
        <v>93</v>
      </c>
      <c r="G82" t="s">
        <v>8</v>
      </c>
      <c r="H82">
        <v>9</v>
      </c>
      <c r="I82">
        <v>1</v>
      </c>
      <c r="J82">
        <v>1</v>
      </c>
      <c r="K82">
        <v>0</v>
      </c>
      <c r="L82">
        <v>1</v>
      </c>
      <c r="M82">
        <f t="shared" si="6"/>
        <v>4</v>
      </c>
      <c r="N82">
        <f t="shared" si="7"/>
        <v>3</v>
      </c>
      <c r="O82">
        <f t="shared" si="8"/>
        <v>1</v>
      </c>
      <c r="P82" s="3"/>
      <c r="T82" t="str">
        <f t="shared" si="9"/>
        <v>José</v>
      </c>
      <c r="U82" t="str">
        <f t="shared" si="10"/>
        <v>Saavedra</v>
      </c>
      <c r="V82" t="str">
        <f t="shared" si="11"/>
        <v/>
      </c>
    </row>
    <row r="83" spans="1:22" x14ac:dyDescent="0.35">
      <c r="A83" t="s">
        <v>90</v>
      </c>
      <c r="B83" t="s">
        <v>91</v>
      </c>
      <c r="C83">
        <v>59</v>
      </c>
      <c r="D83">
        <v>4</v>
      </c>
      <c r="E83">
        <v>2022</v>
      </c>
      <c r="F83" t="s">
        <v>93</v>
      </c>
      <c r="G83" t="s">
        <v>8</v>
      </c>
      <c r="H83">
        <v>9</v>
      </c>
      <c r="I83">
        <v>9</v>
      </c>
      <c r="J83">
        <v>9</v>
      </c>
      <c r="K83">
        <v>9</v>
      </c>
      <c r="L83">
        <v>9</v>
      </c>
      <c r="M83">
        <f t="shared" si="6"/>
        <v>0</v>
      </c>
      <c r="N83">
        <f t="shared" si="7"/>
        <v>0</v>
      </c>
      <c r="O83">
        <f t="shared" si="8"/>
        <v>9</v>
      </c>
      <c r="P83" s="3">
        <v>45654</v>
      </c>
      <c r="Q83" t="s">
        <v>136</v>
      </c>
      <c r="R83" t="s">
        <v>254</v>
      </c>
      <c r="S83" t="s">
        <v>253</v>
      </c>
      <c r="T83" t="str">
        <f t="shared" si="9"/>
        <v>José</v>
      </c>
      <c r="U83" t="str">
        <f t="shared" si="10"/>
        <v>Saavedra</v>
      </c>
      <c r="V83" t="str">
        <f t="shared" si="11"/>
        <v>SAAVEDRA, José. Disponível em &lt;https://ipnicaragua.com/discurso-daniel-ortega-toma-posesion-2022/&gt;. Acesso em 28 de dezembro de 2024.</v>
      </c>
    </row>
    <row r="84" spans="1:22" x14ac:dyDescent="0.35">
      <c r="A84" t="s">
        <v>94</v>
      </c>
      <c r="B84" t="s">
        <v>95</v>
      </c>
      <c r="C84">
        <v>92</v>
      </c>
      <c r="D84">
        <v>1</v>
      </c>
      <c r="E84">
        <v>2004</v>
      </c>
      <c r="F84" t="s">
        <v>96</v>
      </c>
      <c r="G84" t="s">
        <v>8</v>
      </c>
      <c r="H84">
        <v>9</v>
      </c>
      <c r="I84">
        <v>9</v>
      </c>
      <c r="J84">
        <v>9</v>
      </c>
      <c r="K84">
        <v>0</v>
      </c>
      <c r="L84">
        <v>9</v>
      </c>
      <c r="M84">
        <f t="shared" si="6"/>
        <v>1</v>
      </c>
      <c r="N84">
        <f t="shared" si="7"/>
        <v>0</v>
      </c>
      <c r="O84">
        <f t="shared" si="8"/>
        <v>0</v>
      </c>
      <c r="P84" s="3">
        <v>45654</v>
      </c>
      <c r="Q84" t="s">
        <v>136</v>
      </c>
      <c r="R84" t="s">
        <v>262</v>
      </c>
      <c r="S84" t="s">
        <v>261</v>
      </c>
      <c r="T84" t="str">
        <f t="shared" si="9"/>
        <v>Martín</v>
      </c>
      <c r="U84" t="str">
        <f t="shared" si="10"/>
        <v>Espino</v>
      </c>
      <c r="V84" t="str">
        <f t="shared" si="11"/>
        <v>ESPINO, Martín. Disponível em &lt;https://www.voltairenet.org/article122027.html&gt;. Acesso em 28 de dezembro de 2024.</v>
      </c>
    </row>
    <row r="85" spans="1:22" x14ac:dyDescent="0.35">
      <c r="A85" t="s">
        <v>94</v>
      </c>
      <c r="B85" t="s">
        <v>95</v>
      </c>
      <c r="C85">
        <v>92</v>
      </c>
      <c r="D85">
        <v>1</v>
      </c>
      <c r="E85">
        <v>2009</v>
      </c>
      <c r="F85" t="s">
        <v>97</v>
      </c>
      <c r="G85" t="s">
        <v>8</v>
      </c>
      <c r="H85">
        <v>9</v>
      </c>
      <c r="I85">
        <v>9</v>
      </c>
      <c r="J85">
        <v>9</v>
      </c>
      <c r="K85">
        <v>0</v>
      </c>
      <c r="L85">
        <v>9</v>
      </c>
      <c r="M85">
        <f t="shared" si="6"/>
        <v>1</v>
      </c>
      <c r="N85">
        <f t="shared" si="7"/>
        <v>0</v>
      </c>
      <c r="O85">
        <f t="shared" si="8"/>
        <v>0</v>
      </c>
      <c r="P85" s="3">
        <v>45654</v>
      </c>
      <c r="Q85" t="s">
        <v>136</v>
      </c>
      <c r="R85" t="s">
        <v>260</v>
      </c>
      <c r="S85" t="s">
        <v>259</v>
      </c>
      <c r="T85" t="str">
        <f t="shared" si="9"/>
        <v>Ricardo</v>
      </c>
      <c r="U85" t="str">
        <f t="shared" si="10"/>
        <v>Berrocal</v>
      </c>
      <c r="V85" t="str">
        <f t="shared" si="11"/>
        <v>BERROCAL, Ricardo. Disponível em &lt;http://william_h_ormsbee.tripod.com/pan_pres_martinelli_sp-inaug_sp.htm&gt;. Acesso em 28 de dezembro de 2024.</v>
      </c>
    </row>
    <row r="86" spans="1:22" x14ac:dyDescent="0.35">
      <c r="A86" t="s">
        <v>94</v>
      </c>
      <c r="B86" t="s">
        <v>95</v>
      </c>
      <c r="C86">
        <v>92</v>
      </c>
      <c r="D86">
        <v>1</v>
      </c>
      <c r="E86">
        <v>2014</v>
      </c>
      <c r="F86" t="s">
        <v>98</v>
      </c>
      <c r="G86" t="s">
        <v>8</v>
      </c>
      <c r="H86">
        <v>9</v>
      </c>
      <c r="I86">
        <v>9</v>
      </c>
      <c r="J86">
        <v>9</v>
      </c>
      <c r="K86">
        <v>0</v>
      </c>
      <c r="L86">
        <v>9</v>
      </c>
      <c r="M86">
        <f t="shared" si="6"/>
        <v>1</v>
      </c>
      <c r="N86">
        <f t="shared" si="7"/>
        <v>0</v>
      </c>
      <c r="O86">
        <f t="shared" si="8"/>
        <v>0</v>
      </c>
      <c r="P86" s="3">
        <v>45654</v>
      </c>
      <c r="Q86" t="s">
        <v>136</v>
      </c>
      <c r="R86" t="s">
        <v>258</v>
      </c>
      <c r="S86" t="s">
        <v>257</v>
      </c>
      <c r="T86" t="str">
        <f t="shared" si="9"/>
        <v>Juan</v>
      </c>
      <c r="U86" t="str">
        <f t="shared" si="10"/>
        <v>Varela</v>
      </c>
      <c r="V86" t="str">
        <f t="shared" si="11"/>
        <v>VARELA, Juan. Disponível em &lt;http://tabulario.s3.amazonaws.com/Data/Presidencia%20de%20la%20Rep%C3%BAblica/Discurso%20de%20Toma%20de%20Posesi%C3%B3n%20de%20Juan%20Carlos%20Varela%20(2014).pdf&gt;. Acesso em 28 de dezembro de 2024.</v>
      </c>
    </row>
    <row r="87" spans="1:22" x14ac:dyDescent="0.35">
      <c r="A87" t="s">
        <v>94</v>
      </c>
      <c r="B87" t="s">
        <v>95</v>
      </c>
      <c r="C87">
        <v>92</v>
      </c>
      <c r="D87">
        <v>1</v>
      </c>
      <c r="E87">
        <v>2019</v>
      </c>
      <c r="F87" t="s">
        <v>99</v>
      </c>
      <c r="G87" t="s">
        <v>8</v>
      </c>
      <c r="H87">
        <v>9</v>
      </c>
      <c r="I87">
        <v>9</v>
      </c>
      <c r="J87">
        <v>9</v>
      </c>
      <c r="K87">
        <v>9</v>
      </c>
      <c r="L87">
        <v>9</v>
      </c>
      <c r="M87">
        <f t="shared" si="6"/>
        <v>0</v>
      </c>
      <c r="N87">
        <f t="shared" si="7"/>
        <v>0</v>
      </c>
      <c r="O87">
        <f t="shared" si="8"/>
        <v>9</v>
      </c>
      <c r="P87" s="3">
        <v>45654</v>
      </c>
      <c r="Q87" t="s">
        <v>136</v>
      </c>
      <c r="R87" t="s">
        <v>256</v>
      </c>
      <c r="S87" t="s">
        <v>255</v>
      </c>
      <c r="T87" t="str">
        <f t="shared" si="9"/>
        <v>Laurentino</v>
      </c>
      <c r="U87" t="str">
        <f t="shared" si="10"/>
        <v>Cohen</v>
      </c>
      <c r="V87" t="str">
        <f t="shared" si="11"/>
        <v>COHEN, Laurentino. Disponível em &lt;https://noticiasdepanama.com/gobierno/discurso-completo-del-presidente-de-panama-laurentino-nito-cortizo/&gt;. Acesso em 28 de dezembro de 2024.</v>
      </c>
    </row>
    <row r="88" spans="1:22" x14ac:dyDescent="0.35">
      <c r="A88" t="s">
        <v>100</v>
      </c>
      <c r="B88" t="s">
        <v>101</v>
      </c>
      <c r="C88">
        <v>189</v>
      </c>
      <c r="D88">
        <v>1</v>
      </c>
      <c r="E88">
        <v>2003</v>
      </c>
      <c r="F88" t="s">
        <v>102</v>
      </c>
      <c r="G88" t="s">
        <v>8</v>
      </c>
      <c r="H88">
        <v>1</v>
      </c>
      <c r="I88">
        <v>0</v>
      </c>
      <c r="J88">
        <v>9</v>
      </c>
      <c r="K88">
        <v>0</v>
      </c>
      <c r="L88">
        <v>9</v>
      </c>
      <c r="M88">
        <f t="shared" si="6"/>
        <v>3</v>
      </c>
      <c r="N88">
        <f t="shared" si="7"/>
        <v>1</v>
      </c>
      <c r="O88">
        <f t="shared" si="8"/>
        <v>0</v>
      </c>
      <c r="P88" s="3"/>
      <c r="T88" t="str">
        <f t="shared" si="9"/>
        <v>Óscar</v>
      </c>
      <c r="U88" t="str">
        <f t="shared" si="10"/>
        <v>Frutos</v>
      </c>
      <c r="V88" t="str">
        <f t="shared" si="11"/>
        <v/>
      </c>
    </row>
    <row r="89" spans="1:22" x14ac:dyDescent="0.35">
      <c r="A89" t="s">
        <v>100</v>
      </c>
      <c r="B89" t="s">
        <v>101</v>
      </c>
      <c r="C89">
        <v>189</v>
      </c>
      <c r="D89">
        <v>1</v>
      </c>
      <c r="E89">
        <v>2008</v>
      </c>
      <c r="F89" t="s">
        <v>103</v>
      </c>
      <c r="G89" t="s">
        <v>8</v>
      </c>
      <c r="H89">
        <v>1</v>
      </c>
      <c r="I89">
        <v>1</v>
      </c>
      <c r="J89">
        <v>9</v>
      </c>
      <c r="K89">
        <v>0</v>
      </c>
      <c r="L89">
        <v>9</v>
      </c>
      <c r="M89">
        <f t="shared" si="6"/>
        <v>3</v>
      </c>
      <c r="N89">
        <f t="shared" si="7"/>
        <v>2</v>
      </c>
      <c r="O89">
        <f t="shared" si="8"/>
        <v>1</v>
      </c>
      <c r="P89" s="3">
        <v>45654</v>
      </c>
      <c r="Q89" t="s">
        <v>136</v>
      </c>
      <c r="R89" t="s">
        <v>268</v>
      </c>
      <c r="S89" t="s">
        <v>267</v>
      </c>
      <c r="T89" t="str">
        <f t="shared" si="9"/>
        <v>Fernando</v>
      </c>
      <c r="U89" t="str">
        <f t="shared" si="10"/>
        <v>Méndez</v>
      </c>
      <c r="V89" t="str">
        <f t="shared" si="11"/>
        <v>MÉNDEZ, Fernando. Disponível em &lt;https://www.parlamentomercosur.org/innovaportal/file/542/1/discruso-fernando-lugo.pdf&gt;. Acesso em 28 de dezembro de 2024.</v>
      </c>
    </row>
    <row r="90" spans="1:22" x14ac:dyDescent="0.35">
      <c r="A90" t="s">
        <v>100</v>
      </c>
      <c r="B90" t="s">
        <v>101</v>
      </c>
      <c r="C90">
        <v>189</v>
      </c>
      <c r="D90">
        <v>1</v>
      </c>
      <c r="E90">
        <v>2013</v>
      </c>
      <c r="F90" t="s">
        <v>104</v>
      </c>
      <c r="G90" t="s">
        <v>8</v>
      </c>
      <c r="H90">
        <v>0</v>
      </c>
      <c r="I90">
        <v>0</v>
      </c>
      <c r="J90">
        <v>9</v>
      </c>
      <c r="K90">
        <v>0</v>
      </c>
      <c r="L90">
        <v>9</v>
      </c>
      <c r="M90">
        <f t="shared" si="6"/>
        <v>3</v>
      </c>
      <c r="N90">
        <f t="shared" si="7"/>
        <v>0</v>
      </c>
      <c r="O90">
        <f t="shared" si="8"/>
        <v>0</v>
      </c>
      <c r="P90" s="3"/>
      <c r="T90" t="str">
        <f t="shared" si="9"/>
        <v>Horacio</v>
      </c>
      <c r="U90" t="str">
        <f t="shared" si="10"/>
        <v>Jara</v>
      </c>
      <c r="V90" t="str">
        <f t="shared" si="11"/>
        <v/>
      </c>
    </row>
    <row r="91" spans="1:22" x14ac:dyDescent="0.35">
      <c r="A91" t="s">
        <v>100</v>
      </c>
      <c r="B91" t="s">
        <v>101</v>
      </c>
      <c r="C91">
        <v>189</v>
      </c>
      <c r="D91">
        <v>1</v>
      </c>
      <c r="E91">
        <v>2018</v>
      </c>
      <c r="F91" t="s">
        <v>105</v>
      </c>
      <c r="G91" t="s">
        <v>8</v>
      </c>
      <c r="H91">
        <v>0</v>
      </c>
      <c r="I91">
        <v>0</v>
      </c>
      <c r="J91">
        <v>9</v>
      </c>
      <c r="K91">
        <v>0</v>
      </c>
      <c r="L91">
        <v>9</v>
      </c>
      <c r="M91">
        <f t="shared" si="6"/>
        <v>3</v>
      </c>
      <c r="N91">
        <f t="shared" si="7"/>
        <v>0</v>
      </c>
      <c r="O91">
        <f t="shared" si="8"/>
        <v>0</v>
      </c>
      <c r="P91" s="3">
        <v>45654</v>
      </c>
      <c r="Q91" t="s">
        <v>136</v>
      </c>
      <c r="R91" t="s">
        <v>266</v>
      </c>
      <c r="S91" t="s">
        <v>265</v>
      </c>
      <c r="T91" t="str">
        <f t="shared" si="9"/>
        <v>Mario</v>
      </c>
      <c r="U91" t="str">
        <f t="shared" si="10"/>
        <v>Benítez</v>
      </c>
      <c r="V91" t="str">
        <f t="shared" si="11"/>
        <v>BENÍTEZ, Mario. Disponível em &lt;https://www.lanacion.com.py/politica/2018/08/15/discurso-completo-de-mario-abdo-benitez-al-inaugurar-su-gobierno/&gt;. Acesso em 28 de dezembro de 2024.</v>
      </c>
    </row>
    <row r="92" spans="1:22" x14ac:dyDescent="0.35">
      <c r="A92" t="s">
        <v>100</v>
      </c>
      <c r="B92" t="s">
        <v>101</v>
      </c>
      <c r="C92">
        <v>189</v>
      </c>
      <c r="D92">
        <v>1</v>
      </c>
      <c r="E92">
        <v>2023</v>
      </c>
      <c r="F92" t="s">
        <v>106</v>
      </c>
      <c r="G92" t="s">
        <v>8</v>
      </c>
      <c r="H92">
        <v>9</v>
      </c>
      <c r="I92">
        <v>9</v>
      </c>
      <c r="J92">
        <v>9</v>
      </c>
      <c r="K92">
        <v>9</v>
      </c>
      <c r="L92">
        <v>9</v>
      </c>
      <c r="M92">
        <f t="shared" si="6"/>
        <v>0</v>
      </c>
      <c r="N92">
        <f t="shared" si="7"/>
        <v>0</v>
      </c>
      <c r="O92">
        <f t="shared" si="8"/>
        <v>9</v>
      </c>
      <c r="P92" s="3">
        <v>45654</v>
      </c>
      <c r="Q92" t="s">
        <v>136</v>
      </c>
      <c r="R92" t="s">
        <v>264</v>
      </c>
      <c r="S92" t="s">
        <v>263</v>
      </c>
      <c r="T92" t="str">
        <f t="shared" si="9"/>
        <v>Santiago</v>
      </c>
      <c r="U92" t="str">
        <f t="shared" si="10"/>
        <v>Palacios</v>
      </c>
      <c r="V92" t="str">
        <f t="shared" si="11"/>
        <v>PALACIOS, Santiago. Disponível em &lt;https://www.abc.com.py/politica/2023/08/15/santiago-pena-su-primer-discurso-completo-como-presidente-de-la-republica/&gt;. Acesso em 28 de dezembro de 2024.</v>
      </c>
    </row>
    <row r="93" spans="1:22" x14ac:dyDescent="0.35">
      <c r="A93" t="s">
        <v>107</v>
      </c>
      <c r="B93" t="s">
        <v>108</v>
      </c>
      <c r="C93">
        <v>30</v>
      </c>
      <c r="D93">
        <v>1</v>
      </c>
      <c r="E93">
        <v>2000</v>
      </c>
      <c r="F93" t="s">
        <v>109</v>
      </c>
      <c r="G93" t="s">
        <v>8</v>
      </c>
      <c r="H93">
        <v>0</v>
      </c>
      <c r="I93">
        <v>0</v>
      </c>
      <c r="J93">
        <v>0</v>
      </c>
      <c r="K93">
        <v>0</v>
      </c>
      <c r="L93">
        <v>9</v>
      </c>
      <c r="M93">
        <f t="shared" si="6"/>
        <v>4</v>
      </c>
      <c r="N93">
        <f t="shared" si="7"/>
        <v>0</v>
      </c>
      <c r="O93">
        <f t="shared" si="8"/>
        <v>0</v>
      </c>
      <c r="P93" s="3"/>
      <c r="T93" t="str">
        <f t="shared" si="9"/>
        <v>Valentín</v>
      </c>
      <c r="U93" t="str">
        <f t="shared" si="10"/>
        <v>Corazao</v>
      </c>
      <c r="V93" t="str">
        <f t="shared" si="11"/>
        <v/>
      </c>
    </row>
    <row r="94" spans="1:22" x14ac:dyDescent="0.35">
      <c r="A94" t="s">
        <v>107</v>
      </c>
      <c r="B94" t="s">
        <v>108</v>
      </c>
      <c r="C94">
        <v>30</v>
      </c>
      <c r="D94">
        <v>1</v>
      </c>
      <c r="E94">
        <v>2001</v>
      </c>
      <c r="F94" t="s">
        <v>110</v>
      </c>
      <c r="G94" t="s">
        <v>8</v>
      </c>
      <c r="H94">
        <v>0</v>
      </c>
      <c r="I94">
        <v>0</v>
      </c>
      <c r="J94">
        <v>0</v>
      </c>
      <c r="K94">
        <v>0</v>
      </c>
      <c r="L94">
        <v>9</v>
      </c>
      <c r="M94">
        <f t="shared" si="6"/>
        <v>4</v>
      </c>
      <c r="N94">
        <f t="shared" si="7"/>
        <v>0</v>
      </c>
      <c r="O94">
        <f t="shared" si="8"/>
        <v>0</v>
      </c>
      <c r="P94" s="3"/>
      <c r="T94" t="str">
        <f t="shared" si="9"/>
        <v>Alejandro</v>
      </c>
      <c r="U94" t="str">
        <f t="shared" si="10"/>
        <v>Manrique</v>
      </c>
      <c r="V94" t="str">
        <f t="shared" si="11"/>
        <v/>
      </c>
    </row>
    <row r="95" spans="1:22" x14ac:dyDescent="0.35">
      <c r="A95" t="s">
        <v>107</v>
      </c>
      <c r="B95" t="s">
        <v>108</v>
      </c>
      <c r="C95">
        <v>30</v>
      </c>
      <c r="D95">
        <v>1</v>
      </c>
      <c r="E95">
        <v>2006</v>
      </c>
      <c r="F95" t="s">
        <v>111</v>
      </c>
      <c r="G95" t="s">
        <v>8</v>
      </c>
      <c r="H95">
        <v>0</v>
      </c>
      <c r="I95">
        <v>0</v>
      </c>
      <c r="J95">
        <v>1</v>
      </c>
      <c r="K95">
        <v>1</v>
      </c>
      <c r="L95">
        <v>9</v>
      </c>
      <c r="M95">
        <f t="shared" si="6"/>
        <v>4</v>
      </c>
      <c r="N95">
        <f t="shared" si="7"/>
        <v>2</v>
      </c>
      <c r="O95">
        <f t="shared" si="8"/>
        <v>1</v>
      </c>
      <c r="P95" s="3"/>
      <c r="T95" t="str">
        <f t="shared" si="9"/>
        <v>Alan</v>
      </c>
      <c r="U95" t="str">
        <f t="shared" si="10"/>
        <v>Pérez</v>
      </c>
      <c r="V95" t="str">
        <f t="shared" si="11"/>
        <v/>
      </c>
    </row>
    <row r="96" spans="1:22" x14ac:dyDescent="0.35">
      <c r="A96" t="s">
        <v>107</v>
      </c>
      <c r="B96" t="s">
        <v>108</v>
      </c>
      <c r="C96">
        <v>30</v>
      </c>
      <c r="D96">
        <v>1</v>
      </c>
      <c r="E96">
        <v>2011</v>
      </c>
      <c r="F96" t="s">
        <v>112</v>
      </c>
      <c r="G96" t="s">
        <v>8</v>
      </c>
      <c r="H96">
        <v>0</v>
      </c>
      <c r="I96">
        <v>0</v>
      </c>
      <c r="J96">
        <v>0</v>
      </c>
      <c r="K96">
        <v>0</v>
      </c>
      <c r="L96">
        <v>9</v>
      </c>
      <c r="M96">
        <f t="shared" si="6"/>
        <v>4</v>
      </c>
      <c r="N96">
        <f t="shared" si="7"/>
        <v>0</v>
      </c>
      <c r="O96">
        <f t="shared" si="8"/>
        <v>0</v>
      </c>
      <c r="P96" s="3">
        <v>45654</v>
      </c>
      <c r="Q96" t="s">
        <v>136</v>
      </c>
      <c r="R96" t="s">
        <v>270</v>
      </c>
      <c r="S96" t="s">
        <v>269</v>
      </c>
      <c r="T96" t="str">
        <f t="shared" si="9"/>
        <v>Ollanta</v>
      </c>
      <c r="U96" t="str">
        <f t="shared" si="10"/>
        <v>Tasso</v>
      </c>
      <c r="V96" t="str">
        <f t="shared" si="11"/>
        <v>TASSO, Ollanta. Disponível em &lt;http://portal.andina.pe/edpespeciales/2011/Mensaje_Nacion.pdf&gt;. Acesso em 28 de dezembro de 2024.</v>
      </c>
    </row>
    <row r="97" spans="1:22" x14ac:dyDescent="0.35">
      <c r="A97" t="s">
        <v>107</v>
      </c>
      <c r="B97" t="s">
        <v>108</v>
      </c>
      <c r="C97">
        <v>30</v>
      </c>
      <c r="D97">
        <v>1</v>
      </c>
      <c r="E97">
        <v>2016</v>
      </c>
      <c r="F97" t="s">
        <v>113</v>
      </c>
      <c r="G97" t="s">
        <v>8</v>
      </c>
      <c r="H97">
        <v>0</v>
      </c>
      <c r="I97">
        <v>0</v>
      </c>
      <c r="J97">
        <v>0</v>
      </c>
      <c r="K97">
        <v>0</v>
      </c>
      <c r="L97">
        <v>9</v>
      </c>
      <c r="M97">
        <f t="shared" si="6"/>
        <v>4</v>
      </c>
      <c r="N97">
        <f t="shared" si="7"/>
        <v>0</v>
      </c>
      <c r="O97">
        <f t="shared" si="8"/>
        <v>0</v>
      </c>
      <c r="P97" s="3">
        <v>45654</v>
      </c>
      <c r="Q97" t="s">
        <v>136</v>
      </c>
      <c r="R97" t="s">
        <v>272</v>
      </c>
      <c r="S97" t="s">
        <v>271</v>
      </c>
      <c r="T97" t="str">
        <f t="shared" si="9"/>
        <v>Pedro</v>
      </c>
      <c r="U97" t="str">
        <f t="shared" si="10"/>
        <v>Goddard</v>
      </c>
      <c r="V97" t="str">
        <f t="shared" si="11"/>
        <v>GODDARD, Pedro. Disponível em &lt;https://www.youtube.com/watch?v=UTc6FdqEeY0&gt;. Acesso em 28 de dezembro de 2024.</v>
      </c>
    </row>
    <row r="98" spans="1:22" x14ac:dyDescent="0.35">
      <c r="A98" t="s">
        <v>107</v>
      </c>
      <c r="B98" t="s">
        <v>108</v>
      </c>
      <c r="C98">
        <v>30</v>
      </c>
      <c r="D98">
        <v>1</v>
      </c>
      <c r="E98">
        <v>2018</v>
      </c>
      <c r="F98" t="s">
        <v>273</v>
      </c>
      <c r="G98" t="s">
        <v>8</v>
      </c>
      <c r="H98">
        <v>0</v>
      </c>
      <c r="I98">
        <v>0</v>
      </c>
      <c r="J98">
        <v>0</v>
      </c>
      <c r="K98">
        <v>0</v>
      </c>
      <c r="L98">
        <v>9</v>
      </c>
      <c r="M98">
        <f t="shared" si="6"/>
        <v>4</v>
      </c>
      <c r="N98">
        <f t="shared" si="7"/>
        <v>0</v>
      </c>
      <c r="O98">
        <f t="shared" si="8"/>
        <v>0</v>
      </c>
      <c r="P98" s="3">
        <v>45654</v>
      </c>
      <c r="Q98" t="s">
        <v>136</v>
      </c>
      <c r="R98" t="s">
        <v>277</v>
      </c>
      <c r="S98" t="s">
        <v>276</v>
      </c>
      <c r="T98" t="str">
        <f t="shared" si="9"/>
        <v>Martín</v>
      </c>
      <c r="U98" t="str">
        <f t="shared" si="10"/>
        <v>Cornejo</v>
      </c>
      <c r="V98" t="str">
        <f t="shared" si="11"/>
        <v>CORNEJO, Martín. Disponível em &lt;https://www.gob.pe/institucion/presidencia/noticias/19344-mensaje-a-la-nacion-del-presidente-de-la-republica-martin-vizcarra-cornejo&gt;. Acesso em 28 de dezembro de 2024.</v>
      </c>
    </row>
    <row r="99" spans="1:22" x14ac:dyDescent="0.35">
      <c r="A99" t="s">
        <v>107</v>
      </c>
      <c r="B99" t="s">
        <v>108</v>
      </c>
      <c r="C99">
        <v>30</v>
      </c>
      <c r="D99">
        <v>1</v>
      </c>
      <c r="E99">
        <v>2020</v>
      </c>
      <c r="F99" t="s">
        <v>274</v>
      </c>
      <c r="G99" t="s">
        <v>8</v>
      </c>
      <c r="H99">
        <v>0</v>
      </c>
      <c r="I99">
        <v>9</v>
      </c>
      <c r="J99">
        <v>9</v>
      </c>
      <c r="K99">
        <v>0</v>
      </c>
      <c r="L99">
        <v>9</v>
      </c>
      <c r="M99">
        <f t="shared" si="6"/>
        <v>2</v>
      </c>
      <c r="N99">
        <f t="shared" si="7"/>
        <v>0</v>
      </c>
      <c r="O99">
        <f t="shared" si="8"/>
        <v>0</v>
      </c>
      <c r="P99" s="3">
        <v>45654</v>
      </c>
      <c r="Q99" t="s">
        <v>136</v>
      </c>
      <c r="R99" t="s">
        <v>279</v>
      </c>
      <c r="S99" t="s">
        <v>278</v>
      </c>
      <c r="T99" t="str">
        <f t="shared" si="9"/>
        <v>Francisco</v>
      </c>
      <c r="U99" t="str">
        <f t="shared" si="10"/>
        <v/>
      </c>
      <c r="V99" t="str">
        <f t="shared" si="11"/>
        <v>, Francisco. Disponível em &lt;https://www.youtube.com/watch?v=Gn0-RNdTSLE&gt;. Acesso em 28 de dezembro de 2024.</v>
      </c>
    </row>
    <row r="100" spans="1:22" x14ac:dyDescent="0.35">
      <c r="A100" t="s">
        <v>107</v>
      </c>
      <c r="B100" t="s">
        <v>108</v>
      </c>
      <c r="C100">
        <v>30</v>
      </c>
      <c r="D100">
        <v>1</v>
      </c>
      <c r="E100">
        <v>2021</v>
      </c>
      <c r="F100" t="s">
        <v>114</v>
      </c>
      <c r="G100" t="s">
        <v>8</v>
      </c>
      <c r="H100">
        <v>9</v>
      </c>
      <c r="I100">
        <v>9</v>
      </c>
      <c r="J100">
        <v>9</v>
      </c>
      <c r="K100">
        <v>9</v>
      </c>
      <c r="L100">
        <v>9</v>
      </c>
      <c r="M100">
        <f t="shared" si="6"/>
        <v>0</v>
      </c>
      <c r="N100">
        <f t="shared" si="7"/>
        <v>0</v>
      </c>
      <c r="O100">
        <f t="shared" si="8"/>
        <v>9</v>
      </c>
      <c r="P100" s="3">
        <v>45654</v>
      </c>
      <c r="Q100" t="s">
        <v>136</v>
      </c>
      <c r="R100" t="s">
        <v>281</v>
      </c>
      <c r="S100" t="s">
        <v>280</v>
      </c>
      <c r="T100" t="str">
        <f t="shared" si="9"/>
        <v>José</v>
      </c>
      <c r="U100" t="str">
        <f t="shared" si="10"/>
        <v>Terrones</v>
      </c>
      <c r="V100" t="str">
        <f t="shared" si="11"/>
        <v>TERRONES, José. Disponível em &lt;https://cdn.www.gob.pe/uploads/document/file/2049663/Mensaje_a_la_nacion_presidente_Pedro_Castillo.pdf.pdf&gt;. Acesso em 28 de dezembro de 2024.</v>
      </c>
    </row>
    <row r="101" spans="1:22" x14ac:dyDescent="0.35">
      <c r="A101" t="s">
        <v>107</v>
      </c>
      <c r="B101" t="s">
        <v>108</v>
      </c>
      <c r="C101">
        <v>30</v>
      </c>
      <c r="D101">
        <v>1</v>
      </c>
      <c r="E101">
        <v>2022</v>
      </c>
      <c r="F101" t="s">
        <v>275</v>
      </c>
      <c r="G101" t="s">
        <v>8</v>
      </c>
      <c r="H101">
        <v>9</v>
      </c>
      <c r="I101">
        <v>9</v>
      </c>
      <c r="J101">
        <v>9</v>
      </c>
      <c r="K101">
        <v>9</v>
      </c>
      <c r="L101">
        <v>9</v>
      </c>
      <c r="M101">
        <f t="shared" si="6"/>
        <v>0</v>
      </c>
      <c r="N101">
        <f t="shared" si="7"/>
        <v>0</v>
      </c>
      <c r="O101">
        <f t="shared" si="8"/>
        <v>9</v>
      </c>
      <c r="P101" s="3">
        <v>45654</v>
      </c>
      <c r="Q101" t="s">
        <v>136</v>
      </c>
      <c r="R101" t="s">
        <v>282</v>
      </c>
      <c r="S101" t="s">
        <v>283</v>
      </c>
      <c r="T101" t="str">
        <f t="shared" si="9"/>
        <v>Dina</v>
      </c>
      <c r="U101" t="str">
        <f t="shared" si="10"/>
        <v>Zegarra</v>
      </c>
      <c r="V101" t="str">
        <f t="shared" si="11"/>
        <v>ZEGARRA, Dina. Disponível em &lt;https://cdn.www.gob.pe/uploads/document/file/3920947/MENSAJE%20A%20LA%20NACI%C3%93N%20DE%20LA%20PRESIDENTA%20D%20ELA%20REP%C3%9ABLICA%20DINA%20BOLUARTE.pdf.pdf&gt;. Acesso em 28 de dezembro de 2024.</v>
      </c>
    </row>
    <row r="102" spans="1:22" x14ac:dyDescent="0.35">
      <c r="A102" t="s">
        <v>115</v>
      </c>
      <c r="B102" t="s">
        <v>116</v>
      </c>
      <c r="C102">
        <v>102</v>
      </c>
      <c r="D102">
        <v>1</v>
      </c>
      <c r="E102">
        <v>2000</v>
      </c>
      <c r="F102" t="s">
        <v>117</v>
      </c>
      <c r="G102" t="s">
        <v>8</v>
      </c>
      <c r="H102">
        <v>9</v>
      </c>
      <c r="I102">
        <v>9</v>
      </c>
      <c r="J102">
        <v>9</v>
      </c>
      <c r="K102">
        <v>0</v>
      </c>
      <c r="L102">
        <v>9</v>
      </c>
      <c r="M102">
        <f t="shared" si="6"/>
        <v>1</v>
      </c>
      <c r="N102">
        <f t="shared" si="7"/>
        <v>0</v>
      </c>
      <c r="O102">
        <f t="shared" si="8"/>
        <v>0</v>
      </c>
      <c r="P102" s="3">
        <v>45654</v>
      </c>
      <c r="Q102" t="s">
        <v>136</v>
      </c>
      <c r="R102" t="s">
        <v>285</v>
      </c>
      <c r="S102" t="s">
        <v>284</v>
      </c>
      <c r="T102" t="str">
        <f t="shared" si="9"/>
        <v>Jorge</v>
      </c>
      <c r="U102" t="str">
        <f t="shared" si="10"/>
        <v>Ibáñez</v>
      </c>
      <c r="V102" t="str">
        <f t="shared" si="11"/>
        <v>IBÁÑEZ, Jorge. Disponível em &lt;https://parlamento.gub.uy/documentosyleyes/discursos/presidentes-rou/2000/97998&gt;. Acesso em 28 de dezembro de 2024.</v>
      </c>
    </row>
    <row r="103" spans="1:22" x14ac:dyDescent="0.35">
      <c r="A103" t="s">
        <v>115</v>
      </c>
      <c r="B103" t="s">
        <v>116</v>
      </c>
      <c r="C103">
        <v>102</v>
      </c>
      <c r="D103">
        <v>1</v>
      </c>
      <c r="E103">
        <v>2005</v>
      </c>
      <c r="F103" t="s">
        <v>118</v>
      </c>
      <c r="G103" t="s">
        <v>8</v>
      </c>
      <c r="H103">
        <v>9</v>
      </c>
      <c r="I103">
        <v>9</v>
      </c>
      <c r="J103">
        <v>9</v>
      </c>
      <c r="K103">
        <v>0</v>
      </c>
      <c r="L103">
        <v>9</v>
      </c>
      <c r="M103">
        <f t="shared" si="6"/>
        <v>1</v>
      </c>
      <c r="N103">
        <f t="shared" si="7"/>
        <v>0</v>
      </c>
      <c r="O103">
        <f t="shared" si="8"/>
        <v>0</v>
      </c>
      <c r="P103" s="3">
        <v>45654</v>
      </c>
      <c r="Q103" t="s">
        <v>136</v>
      </c>
      <c r="R103" t="s">
        <v>287</v>
      </c>
      <c r="S103" t="s">
        <v>286</v>
      </c>
      <c r="T103" t="str">
        <f t="shared" si="9"/>
        <v>Tabaré</v>
      </c>
      <c r="U103" t="str">
        <f t="shared" si="10"/>
        <v>Rosas</v>
      </c>
      <c r="V103" t="str">
        <f t="shared" si="11"/>
        <v>ROSAS, Tabaré. Disponível em &lt;https://parlamento.gub.uy/documentosyleyes/discursos/presidentes-rou/2005/97997&gt;. Acesso em 28 de dezembro de 2024.</v>
      </c>
    </row>
    <row r="104" spans="1:22" x14ac:dyDescent="0.35">
      <c r="A104" t="s">
        <v>115</v>
      </c>
      <c r="B104" t="s">
        <v>116</v>
      </c>
      <c r="C104">
        <v>102</v>
      </c>
      <c r="D104">
        <v>1</v>
      </c>
      <c r="E104">
        <v>2010</v>
      </c>
      <c r="F104" t="s">
        <v>119</v>
      </c>
      <c r="G104" t="s">
        <v>8</v>
      </c>
      <c r="H104">
        <v>9</v>
      </c>
      <c r="I104">
        <v>9</v>
      </c>
      <c r="J104">
        <v>9</v>
      </c>
      <c r="K104">
        <v>0</v>
      </c>
      <c r="L104">
        <v>9</v>
      </c>
      <c r="M104">
        <f t="shared" si="6"/>
        <v>1</v>
      </c>
      <c r="N104">
        <f t="shared" si="7"/>
        <v>0</v>
      </c>
      <c r="O104">
        <f t="shared" si="8"/>
        <v>0</v>
      </c>
      <c r="P104" s="3">
        <v>45654</v>
      </c>
      <c r="Q104" t="s">
        <v>136</v>
      </c>
      <c r="R104" t="s">
        <v>289</v>
      </c>
      <c r="S104" t="s">
        <v>288</v>
      </c>
      <c r="T104" t="str">
        <f t="shared" si="9"/>
        <v>José</v>
      </c>
      <c r="U104" t="str">
        <f t="shared" si="10"/>
        <v>Cordano</v>
      </c>
      <c r="V104" t="str">
        <f t="shared" si="11"/>
        <v>CORDANO, José. Disponível em &lt;https://parlamento.gub.uy/documentosyleyes/discursos/presidentes-rou/2010/97996&gt;. Acesso em 28 de dezembro de 2024.</v>
      </c>
    </row>
    <row r="105" spans="1:22" x14ac:dyDescent="0.35">
      <c r="A105" t="s">
        <v>115</v>
      </c>
      <c r="B105" t="s">
        <v>116</v>
      </c>
      <c r="C105">
        <v>102</v>
      </c>
      <c r="D105">
        <v>2</v>
      </c>
      <c r="E105">
        <v>2015</v>
      </c>
      <c r="F105" t="s">
        <v>118</v>
      </c>
      <c r="G105" t="s">
        <v>8</v>
      </c>
      <c r="H105">
        <v>9</v>
      </c>
      <c r="I105">
        <v>9</v>
      </c>
      <c r="J105">
        <v>9</v>
      </c>
      <c r="K105">
        <v>0</v>
      </c>
      <c r="L105">
        <v>9</v>
      </c>
      <c r="M105">
        <f t="shared" si="6"/>
        <v>1</v>
      </c>
      <c r="N105">
        <f t="shared" si="7"/>
        <v>0</v>
      </c>
      <c r="O105">
        <f t="shared" si="8"/>
        <v>0</v>
      </c>
      <c r="P105" s="3">
        <v>45654</v>
      </c>
      <c r="Q105" t="s">
        <v>136</v>
      </c>
      <c r="R105" t="s">
        <v>291</v>
      </c>
      <c r="S105" t="s">
        <v>292</v>
      </c>
      <c r="T105" t="str">
        <f t="shared" si="9"/>
        <v>Tabaré</v>
      </c>
      <c r="U105" t="str">
        <f t="shared" si="10"/>
        <v>Rosas</v>
      </c>
      <c r="V105" t="str">
        <f t="shared" si="11"/>
        <v>ROSAS, Tabaré. Disponível em &lt;https://parlamento.gub.uy/documentosyleyes/discursos/presidentes-rou/2015/97995&gt;. Acesso em 28 de dezembro de 2024.</v>
      </c>
    </row>
    <row r="106" spans="1:22" x14ac:dyDescent="0.35">
      <c r="A106" t="s">
        <v>115</v>
      </c>
      <c r="B106" t="s">
        <v>116</v>
      </c>
      <c r="C106">
        <v>102</v>
      </c>
      <c r="D106">
        <v>1</v>
      </c>
      <c r="E106">
        <v>2020</v>
      </c>
      <c r="F106" t="s">
        <v>290</v>
      </c>
      <c r="G106" t="s">
        <v>8</v>
      </c>
      <c r="H106">
        <v>9</v>
      </c>
      <c r="I106">
        <v>9</v>
      </c>
      <c r="J106">
        <v>9</v>
      </c>
      <c r="K106">
        <v>0</v>
      </c>
      <c r="L106">
        <v>9</v>
      </c>
      <c r="M106">
        <f t="shared" si="6"/>
        <v>1</v>
      </c>
      <c r="N106">
        <f t="shared" si="7"/>
        <v>0</v>
      </c>
      <c r="O106">
        <f t="shared" si="8"/>
        <v>0</v>
      </c>
      <c r="P106" s="3">
        <v>45654</v>
      </c>
      <c r="Q106" t="s">
        <v>136</v>
      </c>
      <c r="R106" t="s">
        <v>294</v>
      </c>
      <c r="S106" t="s">
        <v>293</v>
      </c>
      <c r="T106" t="str">
        <f t="shared" si="9"/>
        <v>Luis</v>
      </c>
      <c r="U106" t="str">
        <f t="shared" si="10"/>
        <v>Pou</v>
      </c>
      <c r="V106" t="str">
        <f t="shared" si="11"/>
        <v>POU, Luis. Disponível em &lt;https://parlamento.gub.uy/documentosyleyes/discursos/presidentes-rou/2020/680648&gt;. Acesso em 28 de dezembro de 2024.</v>
      </c>
    </row>
    <row r="107" spans="1:22" x14ac:dyDescent="0.35">
      <c r="A107" t="s">
        <v>120</v>
      </c>
      <c r="B107" t="s">
        <v>121</v>
      </c>
      <c r="C107">
        <v>51</v>
      </c>
      <c r="D107">
        <v>1</v>
      </c>
      <c r="E107">
        <v>2001</v>
      </c>
      <c r="F107" t="s">
        <v>122</v>
      </c>
      <c r="G107" t="s">
        <v>8</v>
      </c>
      <c r="H107">
        <v>1</v>
      </c>
      <c r="I107">
        <v>1</v>
      </c>
      <c r="J107">
        <v>1</v>
      </c>
      <c r="K107">
        <v>1</v>
      </c>
      <c r="L107">
        <v>1</v>
      </c>
      <c r="M107">
        <f t="shared" si="6"/>
        <v>5</v>
      </c>
      <c r="N107">
        <f t="shared" si="7"/>
        <v>5</v>
      </c>
      <c r="O107">
        <f t="shared" si="8"/>
        <v>1</v>
      </c>
      <c r="P107" s="3"/>
      <c r="T107" t="str">
        <f t="shared" si="9"/>
        <v>Hugo</v>
      </c>
      <c r="U107" t="str">
        <f t="shared" si="10"/>
        <v>Frías</v>
      </c>
      <c r="V107" t="str">
        <f t="shared" si="11"/>
        <v/>
      </c>
    </row>
    <row r="108" spans="1:22" x14ac:dyDescent="0.35">
      <c r="A108" t="s">
        <v>120</v>
      </c>
      <c r="B108" t="s">
        <v>121</v>
      </c>
      <c r="C108">
        <v>51</v>
      </c>
      <c r="D108">
        <v>2</v>
      </c>
      <c r="E108">
        <v>2002</v>
      </c>
      <c r="F108" t="s">
        <v>122</v>
      </c>
      <c r="G108" t="s">
        <v>8</v>
      </c>
      <c r="H108">
        <v>1</v>
      </c>
      <c r="I108">
        <v>1</v>
      </c>
      <c r="J108">
        <v>1</v>
      </c>
      <c r="K108">
        <v>1</v>
      </c>
      <c r="L108">
        <v>1</v>
      </c>
      <c r="M108">
        <f t="shared" si="6"/>
        <v>5</v>
      </c>
      <c r="N108">
        <f t="shared" si="7"/>
        <v>5</v>
      </c>
      <c r="O108">
        <f t="shared" si="8"/>
        <v>1</v>
      </c>
      <c r="P108" s="3">
        <v>45654</v>
      </c>
      <c r="Q108" t="s">
        <v>136</v>
      </c>
      <c r="R108" t="s">
        <v>295</v>
      </c>
      <c r="S108" t="s">
        <v>324</v>
      </c>
      <c r="T108" t="str">
        <f t="shared" si="9"/>
        <v>Hugo</v>
      </c>
      <c r="U108" t="str">
        <f t="shared" si="10"/>
        <v>Frías</v>
      </c>
      <c r="V108" t="str">
        <f t="shared" si="11"/>
        <v>FRÍAS, Hugo. Disponível em &lt;https://www.youtube.com/watch?v=uykDB62fI7c&gt;. Acesso em 28 de dezembro de 2024.</v>
      </c>
    </row>
    <row r="109" spans="1:22" x14ac:dyDescent="0.35">
      <c r="A109" t="s">
        <v>120</v>
      </c>
      <c r="B109" t="s">
        <v>121</v>
      </c>
      <c r="C109">
        <v>51</v>
      </c>
      <c r="D109">
        <v>3</v>
      </c>
      <c r="E109">
        <v>2007</v>
      </c>
      <c r="F109" t="s">
        <v>122</v>
      </c>
      <c r="G109" t="s">
        <v>8</v>
      </c>
      <c r="H109">
        <v>1</v>
      </c>
      <c r="I109">
        <v>1</v>
      </c>
      <c r="J109">
        <v>1</v>
      </c>
      <c r="K109">
        <v>1</v>
      </c>
      <c r="L109">
        <v>1</v>
      </c>
      <c r="M109">
        <f t="shared" si="6"/>
        <v>5</v>
      </c>
      <c r="N109">
        <f t="shared" si="7"/>
        <v>5</v>
      </c>
      <c r="O109">
        <f t="shared" si="8"/>
        <v>1</v>
      </c>
      <c r="P109" s="3">
        <v>45724</v>
      </c>
      <c r="Q109" t="s">
        <v>136</v>
      </c>
      <c r="R109" t="s">
        <v>326</v>
      </c>
      <c r="S109" t="s">
        <v>325</v>
      </c>
      <c r="T109" t="str">
        <f t="shared" si="9"/>
        <v>Hugo</v>
      </c>
      <c r="U109" t="str">
        <f t="shared" si="10"/>
        <v>Frías</v>
      </c>
      <c r="V109" t="str">
        <f t="shared" si="11"/>
        <v>FRÍAS, Hugo. Disponível em &lt;https://www.youtube.com/watch?v=Zw5tAu18k_A&gt;. Acesso em 08 de março de 2025.</v>
      </c>
    </row>
    <row r="110" spans="1:22" x14ac:dyDescent="0.35">
      <c r="A110" t="s">
        <v>120</v>
      </c>
      <c r="B110" t="s">
        <v>121</v>
      </c>
      <c r="C110">
        <v>51</v>
      </c>
      <c r="D110">
        <v>1</v>
      </c>
      <c r="E110">
        <v>2013</v>
      </c>
      <c r="F110" t="s">
        <v>123</v>
      </c>
      <c r="G110" t="s">
        <v>8</v>
      </c>
      <c r="H110">
        <v>1</v>
      </c>
      <c r="I110">
        <v>1</v>
      </c>
      <c r="J110">
        <v>1</v>
      </c>
      <c r="K110">
        <v>1</v>
      </c>
      <c r="L110">
        <v>1</v>
      </c>
      <c r="M110">
        <f t="shared" si="6"/>
        <v>5</v>
      </c>
      <c r="N110">
        <f t="shared" si="7"/>
        <v>5</v>
      </c>
      <c r="O110">
        <f t="shared" si="8"/>
        <v>1</v>
      </c>
      <c r="P110" s="3">
        <v>45724</v>
      </c>
      <c r="Q110" t="s">
        <v>136</v>
      </c>
      <c r="R110" t="s">
        <v>328</v>
      </c>
      <c r="S110" t="s">
        <v>327</v>
      </c>
      <c r="T110" t="str">
        <f t="shared" si="9"/>
        <v>Nicolás</v>
      </c>
      <c r="U110" t="str">
        <f t="shared" si="10"/>
        <v>Maduro</v>
      </c>
      <c r="V110" t="str">
        <f t="shared" si="11"/>
        <v>MADURO, Nicolás. Disponível em &lt;https://www.youtube.com/watch?v=uL6Z_TBH7bo&gt;. Acesso em 08 de março de 2025.</v>
      </c>
    </row>
    <row r="111" spans="1:22" x14ac:dyDescent="0.35">
      <c r="A111" t="s">
        <v>120</v>
      </c>
      <c r="B111" t="s">
        <v>121</v>
      </c>
      <c r="C111">
        <v>51</v>
      </c>
      <c r="D111">
        <v>2</v>
      </c>
      <c r="E111">
        <v>2019</v>
      </c>
      <c r="F111" t="s">
        <v>123</v>
      </c>
      <c r="G111" t="s">
        <v>8</v>
      </c>
      <c r="H111">
        <v>1</v>
      </c>
      <c r="I111">
        <v>1</v>
      </c>
      <c r="J111">
        <v>1</v>
      </c>
      <c r="K111">
        <v>1</v>
      </c>
      <c r="L111">
        <v>9</v>
      </c>
      <c r="M111">
        <f t="shared" si="6"/>
        <v>4</v>
      </c>
      <c r="N111">
        <f t="shared" si="7"/>
        <v>4</v>
      </c>
      <c r="O111">
        <f t="shared" si="8"/>
        <v>1</v>
      </c>
      <c r="P111" s="3">
        <v>45724</v>
      </c>
      <c r="Q111" t="s">
        <v>136</v>
      </c>
      <c r="R111" t="s">
        <v>330</v>
      </c>
      <c r="S111" t="s">
        <v>329</v>
      </c>
      <c r="T111" t="str">
        <f t="shared" si="9"/>
        <v>Nicolás</v>
      </c>
      <c r="U111" t="str">
        <f t="shared" si="10"/>
        <v>Maduro</v>
      </c>
      <c r="V111" t="str">
        <f t="shared" si="11"/>
        <v>MADURO, Nicolás. Disponível em &lt;https://www.youtube.com/watch?v=5l62HSe7MqQ&gt;. Acesso em 08 de março de 2025.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4E74-4C62-4067-9CE1-1FBF43DA37D2}">
  <dimension ref="B2:I81"/>
  <sheetViews>
    <sheetView showGridLines="0" topLeftCell="C1" workbookViewId="0">
      <selection activeCell="J3" sqref="J3:L3"/>
    </sheetView>
  </sheetViews>
  <sheetFormatPr defaultRowHeight="14.5" x14ac:dyDescent="0.35"/>
  <cols>
    <col min="1" max="1" width="5.26953125" customWidth="1"/>
    <col min="2" max="2" width="19.1796875" bestFit="1" customWidth="1"/>
    <col min="3" max="3" width="12.7265625" bestFit="1" customWidth="1"/>
    <col min="4" max="4" width="45.1796875" bestFit="1" customWidth="1"/>
    <col min="5" max="5" width="17.54296875" bestFit="1" customWidth="1"/>
    <col min="6" max="6" width="13.26953125" customWidth="1"/>
    <col min="7" max="7" width="17.7265625" bestFit="1" customWidth="1"/>
    <col min="8" max="8" width="13.453125" bestFit="1" customWidth="1"/>
    <col min="9" max="9" width="8.54296875" bestFit="1" customWidth="1"/>
  </cols>
  <sheetData>
    <row r="2" spans="2:9" ht="35.25" customHeight="1" x14ac:dyDescent="0.35">
      <c r="B2" s="2" t="s">
        <v>334</v>
      </c>
      <c r="C2" s="2" t="s">
        <v>333</v>
      </c>
      <c r="D2" s="2" t="s">
        <v>332</v>
      </c>
      <c r="E2" s="2" t="s">
        <v>335</v>
      </c>
      <c r="F2" s="2" t="s">
        <v>336</v>
      </c>
      <c r="G2" s="2" t="s">
        <v>337</v>
      </c>
      <c r="H2" s="2" t="s">
        <v>338</v>
      </c>
      <c r="I2" s="2" t="s">
        <v>339</v>
      </c>
    </row>
    <row r="3" spans="2:9" x14ac:dyDescent="0.35">
      <c r="B3" s="1" t="s">
        <v>5</v>
      </c>
      <c r="C3" s="1">
        <v>2003</v>
      </c>
      <c r="D3" s="1" t="s">
        <v>7</v>
      </c>
      <c r="E3" s="1">
        <v>1</v>
      </c>
      <c r="F3" s="1">
        <v>1</v>
      </c>
      <c r="G3" s="1">
        <v>1</v>
      </c>
      <c r="H3" s="1">
        <v>0</v>
      </c>
      <c r="I3" s="1">
        <v>1</v>
      </c>
    </row>
    <row r="4" spans="2:9" x14ac:dyDescent="0.35">
      <c r="B4" s="1" t="s">
        <v>5</v>
      </c>
      <c r="C4" s="1">
        <v>2007</v>
      </c>
      <c r="D4" s="1" t="s">
        <v>9</v>
      </c>
      <c r="E4" s="1">
        <v>1</v>
      </c>
      <c r="F4" s="1">
        <v>1</v>
      </c>
      <c r="G4" s="1">
        <v>1</v>
      </c>
      <c r="H4" s="1">
        <v>0</v>
      </c>
      <c r="I4" s="1">
        <v>1</v>
      </c>
    </row>
    <row r="5" spans="2:9" x14ac:dyDescent="0.35">
      <c r="B5" s="1" t="s">
        <v>5</v>
      </c>
      <c r="C5" s="1">
        <v>2011</v>
      </c>
      <c r="D5" s="1" t="s">
        <v>9</v>
      </c>
      <c r="E5" s="1">
        <v>1</v>
      </c>
      <c r="F5" s="1">
        <v>1</v>
      </c>
      <c r="G5" s="1">
        <v>1</v>
      </c>
      <c r="H5" s="1">
        <v>0</v>
      </c>
      <c r="I5" s="1">
        <v>1</v>
      </c>
    </row>
    <row r="6" spans="2:9" x14ac:dyDescent="0.35">
      <c r="B6" s="1" t="s">
        <v>5</v>
      </c>
      <c r="C6" s="1">
        <v>2015</v>
      </c>
      <c r="D6" s="1" t="s">
        <v>10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2:9" x14ac:dyDescent="0.35">
      <c r="B7" s="1" t="s">
        <v>5</v>
      </c>
      <c r="C7" s="1">
        <v>2019</v>
      </c>
      <c r="D7" s="1" t="s">
        <v>11</v>
      </c>
      <c r="E7" s="1">
        <v>0</v>
      </c>
      <c r="F7" s="1">
        <v>0</v>
      </c>
      <c r="G7" s="1">
        <v>0</v>
      </c>
      <c r="H7" s="1">
        <v>0</v>
      </c>
      <c r="I7" s="1">
        <v>9</v>
      </c>
    </row>
    <row r="8" spans="2:9" x14ac:dyDescent="0.35">
      <c r="B8" s="1" t="s">
        <v>341</v>
      </c>
      <c r="C8" s="1">
        <v>2005</v>
      </c>
      <c r="D8" s="1" t="s">
        <v>16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2:9" x14ac:dyDescent="0.35">
      <c r="B9" s="1" t="s">
        <v>341</v>
      </c>
      <c r="C9" s="1">
        <v>2006</v>
      </c>
      <c r="D9" s="1" t="s">
        <v>17</v>
      </c>
      <c r="E9" s="1">
        <v>1</v>
      </c>
      <c r="F9" s="1">
        <v>1</v>
      </c>
      <c r="G9" s="1">
        <v>1</v>
      </c>
      <c r="H9" s="1">
        <v>1</v>
      </c>
      <c r="I9" s="1">
        <v>1</v>
      </c>
    </row>
    <row r="10" spans="2:9" x14ac:dyDescent="0.35">
      <c r="B10" s="1" t="s">
        <v>341</v>
      </c>
      <c r="C10" s="1">
        <v>2010</v>
      </c>
      <c r="D10" s="1" t="s">
        <v>17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</row>
    <row r="11" spans="2:9" x14ac:dyDescent="0.35">
      <c r="B11" s="1" t="s">
        <v>341</v>
      </c>
      <c r="C11" s="1">
        <v>2015</v>
      </c>
      <c r="D11" s="1" t="s">
        <v>17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</row>
    <row r="12" spans="2:9" x14ac:dyDescent="0.35">
      <c r="B12" s="1" t="s">
        <v>341</v>
      </c>
      <c r="C12" s="1">
        <v>2019</v>
      </c>
      <c r="D12" s="1" t="s">
        <v>19</v>
      </c>
      <c r="E12" s="1">
        <v>0</v>
      </c>
      <c r="F12" s="1">
        <v>0</v>
      </c>
      <c r="G12" s="1">
        <v>0</v>
      </c>
      <c r="H12" s="1">
        <v>0</v>
      </c>
      <c r="I12" s="1">
        <v>9</v>
      </c>
    </row>
    <row r="13" spans="2:9" x14ac:dyDescent="0.35">
      <c r="B13" s="1" t="s">
        <v>341</v>
      </c>
      <c r="C13" s="1">
        <v>2020</v>
      </c>
      <c r="D13" s="1" t="s">
        <v>20</v>
      </c>
      <c r="E13" s="1">
        <v>0</v>
      </c>
      <c r="F13" s="1">
        <v>9</v>
      </c>
      <c r="G13" s="1">
        <v>9</v>
      </c>
      <c r="H13" s="1">
        <v>0</v>
      </c>
      <c r="I13" s="1">
        <v>9</v>
      </c>
    </row>
    <row r="14" spans="2:9" x14ac:dyDescent="0.35">
      <c r="B14" s="1" t="s">
        <v>340</v>
      </c>
      <c r="C14" s="1">
        <v>2003</v>
      </c>
      <c r="D14" s="1" t="s">
        <v>23</v>
      </c>
      <c r="E14" s="1">
        <v>0</v>
      </c>
      <c r="F14" s="1">
        <v>0</v>
      </c>
      <c r="G14" s="1">
        <v>9</v>
      </c>
      <c r="H14" s="1">
        <v>0</v>
      </c>
      <c r="I14" s="1">
        <v>0</v>
      </c>
    </row>
    <row r="15" spans="2:9" x14ac:dyDescent="0.35">
      <c r="B15" s="1" t="s">
        <v>340</v>
      </c>
      <c r="C15" s="1">
        <v>2007</v>
      </c>
      <c r="D15" s="1" t="s">
        <v>23</v>
      </c>
      <c r="E15" s="1">
        <v>0</v>
      </c>
      <c r="F15" s="1">
        <v>0</v>
      </c>
      <c r="G15" s="1">
        <v>9</v>
      </c>
      <c r="H15" s="1">
        <v>0</v>
      </c>
      <c r="I15" s="1">
        <v>0</v>
      </c>
    </row>
    <row r="16" spans="2:9" x14ac:dyDescent="0.35">
      <c r="B16" s="1" t="s">
        <v>340</v>
      </c>
      <c r="C16" s="1">
        <v>2011</v>
      </c>
      <c r="D16" s="1" t="s">
        <v>24</v>
      </c>
      <c r="E16" s="1">
        <v>0</v>
      </c>
      <c r="F16" s="1">
        <v>0</v>
      </c>
      <c r="G16" s="1">
        <v>9</v>
      </c>
      <c r="H16" s="1">
        <v>0</v>
      </c>
      <c r="I16" s="1">
        <v>0</v>
      </c>
    </row>
    <row r="17" spans="2:9" x14ac:dyDescent="0.35">
      <c r="B17" s="1" t="s">
        <v>340</v>
      </c>
      <c r="C17" s="1">
        <v>2015</v>
      </c>
      <c r="D17" s="1" t="s">
        <v>24</v>
      </c>
      <c r="E17" s="1">
        <v>0</v>
      </c>
      <c r="F17" s="1">
        <v>0</v>
      </c>
      <c r="G17" s="1">
        <v>9</v>
      </c>
      <c r="H17" s="1">
        <v>0</v>
      </c>
      <c r="I17" s="1">
        <v>0</v>
      </c>
    </row>
    <row r="18" spans="2:9" x14ac:dyDescent="0.35">
      <c r="B18" s="1" t="s">
        <v>340</v>
      </c>
      <c r="C18" s="1">
        <v>2016</v>
      </c>
      <c r="D18" s="1" t="s">
        <v>25</v>
      </c>
      <c r="E18" s="1">
        <v>0</v>
      </c>
      <c r="F18" s="1">
        <v>0</v>
      </c>
      <c r="G18" s="1">
        <v>9</v>
      </c>
      <c r="H18" s="1">
        <v>0</v>
      </c>
      <c r="I18" s="1">
        <v>0</v>
      </c>
    </row>
    <row r="19" spans="2:9" x14ac:dyDescent="0.35">
      <c r="B19" s="1" t="s">
        <v>340</v>
      </c>
      <c r="C19" s="1">
        <v>2019</v>
      </c>
      <c r="D19" s="1" t="s">
        <v>26</v>
      </c>
      <c r="E19" s="1">
        <v>1</v>
      </c>
      <c r="F19" s="1">
        <v>1</v>
      </c>
      <c r="G19" s="1">
        <v>9</v>
      </c>
      <c r="H19" s="1">
        <v>0</v>
      </c>
      <c r="I19" s="1">
        <v>1</v>
      </c>
    </row>
    <row r="20" spans="2:9" x14ac:dyDescent="0.35">
      <c r="B20" s="1" t="s">
        <v>27</v>
      </c>
      <c r="C20" s="1">
        <v>2000</v>
      </c>
      <c r="D20" s="1" t="s">
        <v>29</v>
      </c>
      <c r="E20" s="1">
        <v>0</v>
      </c>
      <c r="F20" s="1">
        <v>9</v>
      </c>
      <c r="G20" s="1">
        <v>9</v>
      </c>
      <c r="H20" s="1">
        <v>0</v>
      </c>
      <c r="I20" s="1">
        <v>9</v>
      </c>
    </row>
    <row r="21" spans="2:9" x14ac:dyDescent="0.35">
      <c r="B21" s="1" t="s">
        <v>27</v>
      </c>
      <c r="C21" s="1">
        <v>2006</v>
      </c>
      <c r="D21" s="1" t="s">
        <v>30</v>
      </c>
      <c r="E21" s="1">
        <v>0</v>
      </c>
      <c r="F21" s="1">
        <v>9</v>
      </c>
      <c r="G21" s="1">
        <v>9</v>
      </c>
      <c r="H21" s="1">
        <v>0</v>
      </c>
      <c r="I21" s="1">
        <v>9</v>
      </c>
    </row>
    <row r="22" spans="2:9" x14ac:dyDescent="0.35">
      <c r="B22" s="1" t="s">
        <v>27</v>
      </c>
      <c r="C22" s="1">
        <v>2010</v>
      </c>
      <c r="D22" s="1" t="s">
        <v>31</v>
      </c>
      <c r="E22" s="1">
        <v>0</v>
      </c>
      <c r="F22" s="1">
        <v>9</v>
      </c>
      <c r="G22" s="1">
        <v>9</v>
      </c>
      <c r="H22" s="1">
        <v>0</v>
      </c>
      <c r="I22" s="1">
        <v>9</v>
      </c>
    </row>
    <row r="23" spans="2:9" x14ac:dyDescent="0.35">
      <c r="B23" s="1" t="s">
        <v>27</v>
      </c>
      <c r="C23" s="1">
        <v>2014</v>
      </c>
      <c r="D23" s="1" t="s">
        <v>30</v>
      </c>
      <c r="E23" s="1">
        <v>0</v>
      </c>
      <c r="F23" s="1">
        <v>9</v>
      </c>
      <c r="G23" s="1">
        <v>9</v>
      </c>
      <c r="H23" s="1">
        <v>0</v>
      </c>
      <c r="I23" s="1">
        <v>9</v>
      </c>
    </row>
    <row r="24" spans="2:9" x14ac:dyDescent="0.35">
      <c r="B24" s="1" t="s">
        <v>27</v>
      </c>
      <c r="C24" s="1">
        <v>2018</v>
      </c>
      <c r="D24" s="1" t="s">
        <v>31</v>
      </c>
      <c r="E24" s="1">
        <v>0</v>
      </c>
      <c r="F24" s="1">
        <v>9</v>
      </c>
      <c r="G24" s="1">
        <v>9</v>
      </c>
      <c r="H24" s="1">
        <v>0</v>
      </c>
      <c r="I24" s="1">
        <v>9</v>
      </c>
    </row>
    <row r="25" spans="2:9" x14ac:dyDescent="0.35">
      <c r="B25" s="1" t="s">
        <v>342</v>
      </c>
      <c r="C25" s="1">
        <v>2002</v>
      </c>
      <c r="D25" s="1" t="s">
        <v>34</v>
      </c>
      <c r="E25" s="1">
        <v>9</v>
      </c>
      <c r="F25" s="1">
        <v>9</v>
      </c>
      <c r="G25" s="1">
        <v>9</v>
      </c>
      <c r="H25" s="1">
        <v>0</v>
      </c>
      <c r="I25" s="1">
        <v>9</v>
      </c>
    </row>
    <row r="26" spans="2:9" x14ac:dyDescent="0.35">
      <c r="B26" s="1" t="s">
        <v>342</v>
      </c>
      <c r="C26" s="1">
        <v>2006</v>
      </c>
      <c r="D26" s="1" t="s">
        <v>34</v>
      </c>
      <c r="E26" s="1">
        <v>9</v>
      </c>
      <c r="F26" s="1">
        <v>9</v>
      </c>
      <c r="G26" s="1">
        <v>9</v>
      </c>
      <c r="H26" s="1">
        <v>0</v>
      </c>
      <c r="I26" s="1">
        <v>9</v>
      </c>
    </row>
    <row r="27" spans="2:9" x14ac:dyDescent="0.35">
      <c r="B27" s="1" t="s">
        <v>342</v>
      </c>
      <c r="C27" s="1">
        <v>2010</v>
      </c>
      <c r="D27" s="1" t="s">
        <v>35</v>
      </c>
      <c r="E27" s="1">
        <v>9</v>
      </c>
      <c r="F27" s="1">
        <v>9</v>
      </c>
      <c r="G27" s="1">
        <v>9</v>
      </c>
      <c r="H27" s="1">
        <v>0</v>
      </c>
      <c r="I27" s="1">
        <v>9</v>
      </c>
    </row>
    <row r="28" spans="2:9" x14ac:dyDescent="0.35">
      <c r="B28" s="1" t="s">
        <v>342</v>
      </c>
      <c r="C28" s="1">
        <v>2014</v>
      </c>
      <c r="D28" s="1" t="s">
        <v>35</v>
      </c>
      <c r="E28" s="1">
        <v>9</v>
      </c>
      <c r="F28" s="1">
        <v>9</v>
      </c>
      <c r="G28" s="1">
        <v>9</v>
      </c>
      <c r="H28" s="1">
        <v>0</v>
      </c>
      <c r="I28" s="1">
        <v>9</v>
      </c>
    </row>
    <row r="29" spans="2:9" x14ac:dyDescent="0.35">
      <c r="B29" s="1" t="s">
        <v>342</v>
      </c>
      <c r="C29" s="1">
        <v>2018</v>
      </c>
      <c r="D29" s="1" t="s">
        <v>36</v>
      </c>
      <c r="E29" s="1">
        <v>9</v>
      </c>
      <c r="F29" s="1">
        <v>9</v>
      </c>
      <c r="G29" s="1">
        <v>9</v>
      </c>
      <c r="H29" s="1">
        <v>0</v>
      </c>
      <c r="I29" s="1">
        <v>9</v>
      </c>
    </row>
    <row r="30" spans="2:9" x14ac:dyDescent="0.35">
      <c r="B30" s="1" t="s">
        <v>38</v>
      </c>
      <c r="C30" s="1">
        <v>2002</v>
      </c>
      <c r="D30" s="1" t="s">
        <v>40</v>
      </c>
      <c r="E30" s="1">
        <v>9</v>
      </c>
      <c r="F30" s="1">
        <v>9</v>
      </c>
      <c r="G30" s="1">
        <v>9</v>
      </c>
      <c r="H30" s="1">
        <v>0</v>
      </c>
      <c r="I30" s="1">
        <v>9</v>
      </c>
    </row>
    <row r="31" spans="2:9" x14ac:dyDescent="0.35">
      <c r="B31" s="1" t="s">
        <v>38</v>
      </c>
      <c r="C31" s="1">
        <v>2006</v>
      </c>
      <c r="D31" s="1" t="s">
        <v>41</v>
      </c>
      <c r="E31" s="1">
        <v>9</v>
      </c>
      <c r="F31" s="1">
        <v>9</v>
      </c>
      <c r="G31" s="1">
        <v>9</v>
      </c>
      <c r="H31" s="1">
        <v>0</v>
      </c>
      <c r="I31" s="1">
        <v>9</v>
      </c>
    </row>
    <row r="32" spans="2:9" x14ac:dyDescent="0.35">
      <c r="B32" s="1" t="s">
        <v>38</v>
      </c>
      <c r="C32" s="1">
        <v>2010</v>
      </c>
      <c r="D32" s="1" t="s">
        <v>42</v>
      </c>
      <c r="E32" s="1">
        <v>9</v>
      </c>
      <c r="F32" s="1">
        <v>9</v>
      </c>
      <c r="G32" s="1">
        <v>9</v>
      </c>
      <c r="H32" s="1">
        <v>0</v>
      </c>
      <c r="I32" s="1">
        <v>9</v>
      </c>
    </row>
    <row r="33" spans="2:9" x14ac:dyDescent="0.35">
      <c r="B33" s="1" t="s">
        <v>38</v>
      </c>
      <c r="C33" s="1">
        <v>2014</v>
      </c>
      <c r="D33" s="1" t="s">
        <v>43</v>
      </c>
      <c r="E33" s="1">
        <v>9</v>
      </c>
      <c r="F33" s="1">
        <v>9</v>
      </c>
      <c r="G33" s="1">
        <v>9</v>
      </c>
      <c r="H33" s="1">
        <v>0</v>
      </c>
      <c r="I33" s="1">
        <v>9</v>
      </c>
    </row>
    <row r="34" spans="2:9" x14ac:dyDescent="0.35">
      <c r="B34" s="1" t="s">
        <v>38</v>
      </c>
      <c r="C34" s="1">
        <v>2018</v>
      </c>
      <c r="D34" s="1" t="s">
        <v>44</v>
      </c>
      <c r="E34" s="1">
        <v>9</v>
      </c>
      <c r="F34" s="1">
        <v>9</v>
      </c>
      <c r="G34" s="1">
        <v>9</v>
      </c>
      <c r="H34" s="1">
        <v>0</v>
      </c>
      <c r="I34" s="1">
        <v>9</v>
      </c>
    </row>
    <row r="35" spans="2:9" x14ac:dyDescent="0.35">
      <c r="B35" s="1" t="s">
        <v>343</v>
      </c>
      <c r="C35" s="1">
        <v>2000</v>
      </c>
      <c r="D35" s="1" t="s">
        <v>189</v>
      </c>
      <c r="E35" s="1">
        <v>9</v>
      </c>
      <c r="F35" s="1">
        <v>9</v>
      </c>
      <c r="G35" s="1">
        <v>9</v>
      </c>
      <c r="H35" s="1">
        <v>0</v>
      </c>
      <c r="I35" s="1">
        <v>9</v>
      </c>
    </row>
    <row r="36" spans="2:9" x14ac:dyDescent="0.35">
      <c r="B36" s="1" t="s">
        <v>343</v>
      </c>
      <c r="C36" s="1">
        <v>2004</v>
      </c>
      <c r="D36" s="1" t="s">
        <v>48</v>
      </c>
      <c r="E36" s="1">
        <v>9</v>
      </c>
      <c r="F36" s="1">
        <v>9</v>
      </c>
      <c r="G36" s="1">
        <v>9</v>
      </c>
      <c r="H36" s="1">
        <v>0</v>
      </c>
      <c r="I36" s="1">
        <v>9</v>
      </c>
    </row>
    <row r="37" spans="2:9" x14ac:dyDescent="0.35">
      <c r="B37" s="1" t="s">
        <v>343</v>
      </c>
      <c r="C37" s="1">
        <v>2008</v>
      </c>
      <c r="D37" s="1" t="s">
        <v>48</v>
      </c>
      <c r="E37" s="1">
        <v>9</v>
      </c>
      <c r="F37" s="1">
        <v>9</v>
      </c>
      <c r="G37" s="1">
        <v>9</v>
      </c>
      <c r="H37" s="1">
        <v>0</v>
      </c>
      <c r="I37" s="1">
        <v>9</v>
      </c>
    </row>
    <row r="38" spans="2:9" x14ac:dyDescent="0.35">
      <c r="B38" s="1" t="s">
        <v>343</v>
      </c>
      <c r="C38" s="1">
        <v>2012</v>
      </c>
      <c r="D38" s="1" t="s">
        <v>49</v>
      </c>
      <c r="E38" s="1">
        <v>9</v>
      </c>
      <c r="F38" s="1">
        <v>9</v>
      </c>
      <c r="G38" s="1">
        <v>9</v>
      </c>
      <c r="H38" s="1">
        <v>0</v>
      </c>
      <c r="I38" s="1">
        <v>9</v>
      </c>
    </row>
    <row r="39" spans="2:9" x14ac:dyDescent="0.35">
      <c r="B39" s="1" t="s">
        <v>343</v>
      </c>
      <c r="C39" s="1">
        <v>2016</v>
      </c>
      <c r="D39" s="1" t="s">
        <v>49</v>
      </c>
      <c r="E39" s="1">
        <v>9</v>
      </c>
      <c r="F39" s="1">
        <v>9</v>
      </c>
      <c r="G39" s="1">
        <v>9</v>
      </c>
      <c r="H39" s="1">
        <v>0</v>
      </c>
      <c r="I39" s="1">
        <v>9</v>
      </c>
    </row>
    <row r="40" spans="2:9" x14ac:dyDescent="0.35">
      <c r="B40" s="1" t="s">
        <v>343</v>
      </c>
      <c r="C40" s="1">
        <v>2020</v>
      </c>
      <c r="D40" s="1" t="s">
        <v>50</v>
      </c>
      <c r="E40" s="1">
        <v>9</v>
      </c>
      <c r="F40" s="1">
        <v>9</v>
      </c>
      <c r="G40" s="1">
        <v>9</v>
      </c>
      <c r="H40" s="1">
        <v>0</v>
      </c>
      <c r="I40" s="1">
        <v>9</v>
      </c>
    </row>
    <row r="41" spans="2:9" x14ac:dyDescent="0.35">
      <c r="B41" s="1" t="s">
        <v>344</v>
      </c>
      <c r="C41" s="1">
        <v>2003</v>
      </c>
      <c r="D41" s="1" t="s">
        <v>304</v>
      </c>
      <c r="E41" s="1">
        <v>1</v>
      </c>
      <c r="F41" s="1">
        <v>1</v>
      </c>
      <c r="G41" s="1">
        <v>0</v>
      </c>
      <c r="H41" s="1">
        <v>1</v>
      </c>
      <c r="I41" s="1">
        <v>0</v>
      </c>
    </row>
    <row r="42" spans="2:9" x14ac:dyDescent="0.35">
      <c r="B42" s="1" t="s">
        <v>344</v>
      </c>
      <c r="C42" s="1">
        <v>2007</v>
      </c>
      <c r="D42" s="1" t="s">
        <v>55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</row>
    <row r="43" spans="2:9" x14ac:dyDescent="0.35">
      <c r="B43" s="1" t="s">
        <v>344</v>
      </c>
      <c r="C43" s="1">
        <v>2009</v>
      </c>
      <c r="D43" s="1" t="s">
        <v>55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</row>
    <row r="44" spans="2:9" x14ac:dyDescent="0.35">
      <c r="B44" s="1" t="s">
        <v>344</v>
      </c>
      <c r="C44" s="1">
        <v>2013</v>
      </c>
      <c r="D44" s="1" t="s">
        <v>55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</row>
    <row r="45" spans="2:9" x14ac:dyDescent="0.35">
      <c r="B45" s="1" t="s">
        <v>344</v>
      </c>
      <c r="C45" s="1">
        <v>2017</v>
      </c>
      <c r="D45" s="1" t="s">
        <v>56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2:9" x14ac:dyDescent="0.35">
      <c r="B46" s="1" t="s">
        <v>59</v>
      </c>
      <c r="C46" s="1">
        <v>2004</v>
      </c>
      <c r="D46" s="1" t="s">
        <v>61</v>
      </c>
      <c r="E46" s="1">
        <v>9</v>
      </c>
      <c r="F46" s="1">
        <v>9</v>
      </c>
      <c r="G46" s="1">
        <v>9</v>
      </c>
      <c r="H46" s="1">
        <v>0</v>
      </c>
      <c r="I46" s="1">
        <v>9</v>
      </c>
    </row>
    <row r="47" spans="2:9" x14ac:dyDescent="0.35">
      <c r="B47" s="1" t="s">
        <v>59</v>
      </c>
      <c r="C47" s="1">
        <v>2009</v>
      </c>
      <c r="D47" s="1" t="s">
        <v>62</v>
      </c>
      <c r="E47" s="1">
        <v>9</v>
      </c>
      <c r="F47" s="1">
        <v>9</v>
      </c>
      <c r="G47" s="1">
        <v>9</v>
      </c>
      <c r="H47" s="1">
        <v>0</v>
      </c>
      <c r="I47" s="1">
        <v>9</v>
      </c>
    </row>
    <row r="48" spans="2:9" x14ac:dyDescent="0.35">
      <c r="B48" s="1" t="s">
        <v>59</v>
      </c>
      <c r="C48" s="1">
        <v>2014</v>
      </c>
      <c r="D48" s="1" t="s">
        <v>63</v>
      </c>
      <c r="E48" s="1">
        <v>9</v>
      </c>
      <c r="F48" s="1">
        <v>9</v>
      </c>
      <c r="G48" s="1">
        <v>9</v>
      </c>
      <c r="H48" s="1">
        <v>0</v>
      </c>
      <c r="I48" s="1">
        <v>9</v>
      </c>
    </row>
    <row r="49" spans="2:9" x14ac:dyDescent="0.35">
      <c r="B49" s="1" t="s">
        <v>59</v>
      </c>
      <c r="C49" s="1">
        <v>2019</v>
      </c>
      <c r="D49" s="1" t="s">
        <v>64</v>
      </c>
      <c r="E49" s="1">
        <v>9</v>
      </c>
      <c r="F49" s="1">
        <v>9</v>
      </c>
      <c r="G49" s="1">
        <v>9</v>
      </c>
      <c r="H49" s="1">
        <v>0</v>
      </c>
      <c r="I49" s="1">
        <v>9</v>
      </c>
    </row>
    <row r="50" spans="2:9" x14ac:dyDescent="0.35">
      <c r="B50" s="1" t="s">
        <v>65</v>
      </c>
      <c r="C50" s="1">
        <v>2000</v>
      </c>
      <c r="D50" s="1" t="s">
        <v>67</v>
      </c>
      <c r="E50" s="1">
        <v>9</v>
      </c>
      <c r="F50" s="1">
        <v>9</v>
      </c>
      <c r="G50" s="1">
        <v>9</v>
      </c>
      <c r="H50" s="1">
        <v>0</v>
      </c>
      <c r="I50" s="1">
        <v>9</v>
      </c>
    </row>
    <row r="51" spans="2:9" x14ac:dyDescent="0.35">
      <c r="B51" s="1" t="s">
        <v>65</v>
      </c>
      <c r="C51" s="1">
        <v>2004</v>
      </c>
      <c r="D51" s="1" t="s">
        <v>68</v>
      </c>
      <c r="E51" s="1">
        <v>9</v>
      </c>
      <c r="F51" s="1">
        <v>9</v>
      </c>
      <c r="G51" s="1">
        <v>9</v>
      </c>
      <c r="H51" s="1">
        <v>0</v>
      </c>
      <c r="I51" s="1">
        <v>9</v>
      </c>
    </row>
    <row r="52" spans="2:9" x14ac:dyDescent="0.35">
      <c r="B52" s="1" t="s">
        <v>65</v>
      </c>
      <c r="C52" s="1">
        <v>2008</v>
      </c>
      <c r="D52" s="1" t="s">
        <v>69</v>
      </c>
      <c r="E52" s="1">
        <v>9</v>
      </c>
      <c r="F52" s="1">
        <v>9</v>
      </c>
      <c r="G52" s="1">
        <v>9</v>
      </c>
      <c r="H52" s="1">
        <v>0</v>
      </c>
      <c r="I52" s="1">
        <v>9</v>
      </c>
    </row>
    <row r="53" spans="2:9" x14ac:dyDescent="0.35">
      <c r="B53" s="1" t="s">
        <v>65</v>
      </c>
      <c r="C53" s="1">
        <v>2012</v>
      </c>
      <c r="D53" s="1" t="s">
        <v>226</v>
      </c>
      <c r="E53" s="1">
        <v>9</v>
      </c>
      <c r="F53" s="1">
        <v>9</v>
      </c>
      <c r="G53" s="1">
        <v>9</v>
      </c>
      <c r="H53" s="1">
        <v>0</v>
      </c>
      <c r="I53" s="1">
        <v>9</v>
      </c>
    </row>
    <row r="54" spans="2:9" x14ac:dyDescent="0.35">
      <c r="B54" s="1" t="s">
        <v>65</v>
      </c>
      <c r="C54" s="1">
        <v>2015</v>
      </c>
      <c r="D54" s="1" t="s">
        <v>70</v>
      </c>
      <c r="E54" s="1">
        <v>9</v>
      </c>
      <c r="F54" s="1">
        <v>9</v>
      </c>
      <c r="G54" s="1">
        <v>9</v>
      </c>
      <c r="H54" s="1">
        <v>0</v>
      </c>
      <c r="I54" s="1">
        <v>9</v>
      </c>
    </row>
    <row r="55" spans="2:9" x14ac:dyDescent="0.35">
      <c r="B55" s="1" t="s">
        <v>65</v>
      </c>
      <c r="C55" s="1">
        <v>2016</v>
      </c>
      <c r="D55" s="1" t="s">
        <v>71</v>
      </c>
      <c r="E55" s="1">
        <v>9</v>
      </c>
      <c r="F55" s="1">
        <v>9</v>
      </c>
      <c r="G55" s="1">
        <v>9</v>
      </c>
      <c r="H55" s="1">
        <v>0</v>
      </c>
      <c r="I55" s="1">
        <v>9</v>
      </c>
    </row>
    <row r="56" spans="2:9" x14ac:dyDescent="0.35">
      <c r="B56" s="1" t="s">
        <v>65</v>
      </c>
      <c r="C56" s="1">
        <v>2020</v>
      </c>
      <c r="D56" s="1" t="s">
        <v>72</v>
      </c>
      <c r="E56" s="1">
        <v>9</v>
      </c>
      <c r="F56" s="1">
        <v>9</v>
      </c>
      <c r="G56" s="1">
        <v>9</v>
      </c>
      <c r="H56" s="1">
        <v>0</v>
      </c>
      <c r="I56" s="1">
        <v>9</v>
      </c>
    </row>
    <row r="57" spans="2:9" x14ac:dyDescent="0.35">
      <c r="B57" s="1" t="s">
        <v>78</v>
      </c>
      <c r="C57" s="1">
        <v>2014</v>
      </c>
      <c r="D57" s="1" t="s">
        <v>83</v>
      </c>
      <c r="E57" s="1">
        <v>9</v>
      </c>
      <c r="F57" s="1">
        <v>9</v>
      </c>
      <c r="G57" s="1">
        <v>9</v>
      </c>
      <c r="H57" s="1">
        <v>0</v>
      </c>
      <c r="I57" s="1">
        <v>9</v>
      </c>
    </row>
    <row r="58" spans="2:9" x14ac:dyDescent="0.35">
      <c r="B58" s="1" t="s">
        <v>78</v>
      </c>
      <c r="C58" s="1">
        <v>2018</v>
      </c>
      <c r="D58" s="1" t="s">
        <v>83</v>
      </c>
      <c r="E58" s="1">
        <v>9</v>
      </c>
      <c r="F58" s="1">
        <v>9</v>
      </c>
      <c r="G58" s="1">
        <v>9</v>
      </c>
      <c r="H58" s="1">
        <v>0</v>
      </c>
      <c r="I58" s="1">
        <v>9</v>
      </c>
    </row>
    <row r="59" spans="2:9" x14ac:dyDescent="0.35">
      <c r="B59" s="1" t="s">
        <v>345</v>
      </c>
      <c r="C59" s="1">
        <v>2000</v>
      </c>
      <c r="D59" s="1" t="s">
        <v>86</v>
      </c>
      <c r="E59" s="1">
        <v>0</v>
      </c>
      <c r="F59" s="1">
        <v>0</v>
      </c>
      <c r="G59" s="1">
        <v>9</v>
      </c>
      <c r="H59" s="1">
        <v>0</v>
      </c>
      <c r="I59" s="1">
        <v>0</v>
      </c>
    </row>
    <row r="60" spans="2:9" x14ac:dyDescent="0.35">
      <c r="B60" s="1" t="s">
        <v>345</v>
      </c>
      <c r="C60" s="1">
        <v>2006</v>
      </c>
      <c r="D60" s="1" t="s">
        <v>87</v>
      </c>
      <c r="E60" s="1">
        <v>0</v>
      </c>
      <c r="F60" s="1">
        <v>0</v>
      </c>
      <c r="G60" s="1">
        <v>9</v>
      </c>
      <c r="H60" s="1">
        <v>0</v>
      </c>
      <c r="I60" s="1">
        <v>0</v>
      </c>
    </row>
    <row r="61" spans="2:9" x14ac:dyDescent="0.35">
      <c r="B61" s="1" t="s">
        <v>345</v>
      </c>
      <c r="C61" s="1">
        <v>2012</v>
      </c>
      <c r="D61" s="1" t="s">
        <v>88</v>
      </c>
      <c r="E61" s="1">
        <v>0</v>
      </c>
      <c r="F61" s="1">
        <v>0</v>
      </c>
      <c r="G61" s="1">
        <v>9</v>
      </c>
      <c r="H61" s="1">
        <v>0</v>
      </c>
      <c r="I61" s="1">
        <v>0</v>
      </c>
    </row>
    <row r="62" spans="2:9" x14ac:dyDescent="0.35">
      <c r="B62" s="1" t="s">
        <v>345</v>
      </c>
      <c r="C62" s="1">
        <v>2018</v>
      </c>
      <c r="D62" s="1" t="s">
        <v>89</v>
      </c>
      <c r="E62" s="1">
        <v>1</v>
      </c>
      <c r="F62" s="1">
        <v>1</v>
      </c>
      <c r="G62" s="1">
        <v>9</v>
      </c>
      <c r="H62" s="1">
        <v>1</v>
      </c>
      <c r="I62" s="1">
        <v>1</v>
      </c>
    </row>
    <row r="63" spans="2:9" x14ac:dyDescent="0.35">
      <c r="B63" s="1" t="s">
        <v>90</v>
      </c>
      <c r="C63" s="1">
        <v>2002</v>
      </c>
      <c r="D63" s="1" t="s">
        <v>92</v>
      </c>
      <c r="E63" s="1">
        <v>9</v>
      </c>
      <c r="F63" s="1">
        <v>0</v>
      </c>
      <c r="G63" s="1">
        <v>0</v>
      </c>
      <c r="H63" s="1">
        <v>0</v>
      </c>
      <c r="I63" s="1">
        <v>0</v>
      </c>
    </row>
    <row r="64" spans="2:9" x14ac:dyDescent="0.35">
      <c r="B64" s="1" t="s">
        <v>346</v>
      </c>
      <c r="C64" s="1">
        <v>2004</v>
      </c>
      <c r="D64" s="1" t="s">
        <v>96</v>
      </c>
      <c r="E64" s="1">
        <v>9</v>
      </c>
      <c r="F64" s="1">
        <v>9</v>
      </c>
      <c r="G64" s="1">
        <v>9</v>
      </c>
      <c r="H64" s="1">
        <v>0</v>
      </c>
      <c r="I64" s="1">
        <v>9</v>
      </c>
    </row>
    <row r="65" spans="2:9" x14ac:dyDescent="0.35">
      <c r="B65" s="1" t="s">
        <v>346</v>
      </c>
      <c r="C65" s="1">
        <v>2009</v>
      </c>
      <c r="D65" s="1" t="s">
        <v>97</v>
      </c>
      <c r="E65" s="1">
        <v>9</v>
      </c>
      <c r="F65" s="1">
        <v>9</v>
      </c>
      <c r="G65" s="1">
        <v>9</v>
      </c>
      <c r="H65" s="1">
        <v>0</v>
      </c>
      <c r="I65" s="1">
        <v>9</v>
      </c>
    </row>
    <row r="66" spans="2:9" x14ac:dyDescent="0.35">
      <c r="B66" s="1" t="s">
        <v>346</v>
      </c>
      <c r="C66" s="1">
        <v>2014</v>
      </c>
      <c r="D66" s="1" t="s">
        <v>98</v>
      </c>
      <c r="E66" s="1">
        <v>9</v>
      </c>
      <c r="F66" s="1">
        <v>9</v>
      </c>
      <c r="G66" s="1">
        <v>9</v>
      </c>
      <c r="H66" s="1">
        <v>0</v>
      </c>
      <c r="I66" s="1">
        <v>9</v>
      </c>
    </row>
    <row r="67" spans="2:9" x14ac:dyDescent="0.35">
      <c r="B67" s="1" t="s">
        <v>347</v>
      </c>
      <c r="C67" s="1">
        <v>2008</v>
      </c>
      <c r="D67" s="1" t="s">
        <v>103</v>
      </c>
      <c r="E67" s="1">
        <v>1</v>
      </c>
      <c r="F67" s="1">
        <v>1</v>
      </c>
      <c r="G67" s="1">
        <v>9</v>
      </c>
      <c r="H67" s="1">
        <v>0</v>
      </c>
      <c r="I67" s="1">
        <v>9</v>
      </c>
    </row>
    <row r="68" spans="2:9" x14ac:dyDescent="0.35">
      <c r="B68" s="1" t="s">
        <v>347</v>
      </c>
      <c r="C68" s="1">
        <v>2018</v>
      </c>
      <c r="D68" s="1" t="s">
        <v>105</v>
      </c>
      <c r="E68" s="1">
        <v>0</v>
      </c>
      <c r="F68" s="1">
        <v>0</v>
      </c>
      <c r="G68" s="1">
        <v>9</v>
      </c>
      <c r="H68" s="1">
        <v>0</v>
      </c>
      <c r="I68" s="1">
        <v>9</v>
      </c>
    </row>
    <row r="69" spans="2:9" x14ac:dyDescent="0.35">
      <c r="B69" s="1" t="s">
        <v>107</v>
      </c>
      <c r="C69" s="1">
        <v>2011</v>
      </c>
      <c r="D69" s="1" t="s">
        <v>112</v>
      </c>
      <c r="E69" s="1">
        <v>0</v>
      </c>
      <c r="F69" s="1">
        <v>0</v>
      </c>
      <c r="G69" s="1">
        <v>0</v>
      </c>
      <c r="H69" s="1">
        <v>0</v>
      </c>
      <c r="I69" s="1">
        <v>9</v>
      </c>
    </row>
    <row r="70" spans="2:9" x14ac:dyDescent="0.35">
      <c r="B70" s="1" t="s">
        <v>107</v>
      </c>
      <c r="C70" s="1">
        <v>2016</v>
      </c>
      <c r="D70" s="1" t="s">
        <v>113</v>
      </c>
      <c r="E70" s="1">
        <v>0</v>
      </c>
      <c r="F70" s="1">
        <v>0</v>
      </c>
      <c r="G70" s="1">
        <v>0</v>
      </c>
      <c r="H70" s="1">
        <v>0</v>
      </c>
      <c r="I70" s="1">
        <v>9</v>
      </c>
    </row>
    <row r="71" spans="2:9" x14ac:dyDescent="0.35">
      <c r="B71" s="1" t="s">
        <v>107</v>
      </c>
      <c r="C71" s="1">
        <v>2018</v>
      </c>
      <c r="D71" s="1" t="s">
        <v>273</v>
      </c>
      <c r="E71" s="1">
        <v>0</v>
      </c>
      <c r="F71" s="1">
        <v>0</v>
      </c>
      <c r="G71" s="1">
        <v>0</v>
      </c>
      <c r="H71" s="1">
        <v>0</v>
      </c>
      <c r="I71" s="1">
        <v>9</v>
      </c>
    </row>
    <row r="72" spans="2:9" x14ac:dyDescent="0.35">
      <c r="B72" s="1" t="s">
        <v>107</v>
      </c>
      <c r="C72" s="1">
        <v>2020</v>
      </c>
      <c r="D72" s="1" t="s">
        <v>274</v>
      </c>
      <c r="E72" s="1">
        <v>0</v>
      </c>
      <c r="F72" s="1">
        <v>9</v>
      </c>
      <c r="G72" s="1">
        <v>9</v>
      </c>
      <c r="H72" s="1">
        <v>0</v>
      </c>
      <c r="I72" s="1">
        <v>9</v>
      </c>
    </row>
    <row r="73" spans="2:9" x14ac:dyDescent="0.35">
      <c r="B73" s="1" t="s">
        <v>348</v>
      </c>
      <c r="C73" s="1">
        <v>2000</v>
      </c>
      <c r="D73" s="1" t="s">
        <v>117</v>
      </c>
      <c r="E73" s="1">
        <v>9</v>
      </c>
      <c r="F73" s="1">
        <v>9</v>
      </c>
      <c r="G73" s="1">
        <v>9</v>
      </c>
      <c r="H73" s="1">
        <v>0</v>
      </c>
      <c r="I73" s="1">
        <v>9</v>
      </c>
    </row>
    <row r="74" spans="2:9" x14ac:dyDescent="0.35">
      <c r="B74" s="1" t="s">
        <v>348</v>
      </c>
      <c r="C74" s="1">
        <v>2005</v>
      </c>
      <c r="D74" s="1" t="s">
        <v>118</v>
      </c>
      <c r="E74" s="1">
        <v>9</v>
      </c>
      <c r="F74" s="1">
        <v>9</v>
      </c>
      <c r="G74" s="1">
        <v>9</v>
      </c>
      <c r="H74" s="1">
        <v>0</v>
      </c>
      <c r="I74" s="1">
        <v>9</v>
      </c>
    </row>
    <row r="75" spans="2:9" x14ac:dyDescent="0.35">
      <c r="B75" s="1" t="s">
        <v>348</v>
      </c>
      <c r="C75" s="1">
        <v>2010</v>
      </c>
      <c r="D75" s="1" t="s">
        <v>119</v>
      </c>
      <c r="E75" s="1">
        <v>9</v>
      </c>
      <c r="F75" s="1">
        <v>9</v>
      </c>
      <c r="G75" s="1">
        <v>9</v>
      </c>
      <c r="H75" s="1">
        <v>0</v>
      </c>
      <c r="I75" s="1">
        <v>9</v>
      </c>
    </row>
    <row r="76" spans="2:9" x14ac:dyDescent="0.35">
      <c r="B76" s="1" t="s">
        <v>348</v>
      </c>
      <c r="C76" s="1">
        <v>2015</v>
      </c>
      <c r="D76" s="1" t="s">
        <v>118</v>
      </c>
      <c r="E76" s="1">
        <v>9</v>
      </c>
      <c r="F76" s="1">
        <v>9</v>
      </c>
      <c r="G76" s="1">
        <v>9</v>
      </c>
      <c r="H76" s="1">
        <v>0</v>
      </c>
      <c r="I76" s="1">
        <v>9</v>
      </c>
    </row>
    <row r="77" spans="2:9" x14ac:dyDescent="0.35">
      <c r="B77" s="1" t="s">
        <v>348</v>
      </c>
      <c r="C77" s="1">
        <v>2020</v>
      </c>
      <c r="D77" s="1" t="s">
        <v>290</v>
      </c>
      <c r="E77" s="1">
        <v>9</v>
      </c>
      <c r="F77" s="1">
        <v>9</v>
      </c>
      <c r="G77" s="1">
        <v>9</v>
      </c>
      <c r="H77" s="1">
        <v>0</v>
      </c>
      <c r="I77" s="1">
        <v>9</v>
      </c>
    </row>
    <row r="78" spans="2:9" x14ac:dyDescent="0.35">
      <c r="B78" s="1" t="s">
        <v>120</v>
      </c>
      <c r="C78" s="1">
        <v>2002</v>
      </c>
      <c r="D78" s="1" t="s">
        <v>122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</row>
    <row r="79" spans="2:9" x14ac:dyDescent="0.35">
      <c r="B79" s="1" t="s">
        <v>120</v>
      </c>
      <c r="C79" s="1">
        <v>2007</v>
      </c>
      <c r="D79" s="1" t="s">
        <v>122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</row>
    <row r="80" spans="2:9" x14ac:dyDescent="0.35">
      <c r="B80" s="1" t="s">
        <v>120</v>
      </c>
      <c r="C80" s="1">
        <v>2013</v>
      </c>
      <c r="D80" s="1" t="s">
        <v>123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</row>
    <row r="81" spans="2:9" x14ac:dyDescent="0.35">
      <c r="B81" s="1" t="s">
        <v>120</v>
      </c>
      <c r="C81" s="1">
        <v>2019</v>
      </c>
      <c r="D81" s="1" t="s">
        <v>123</v>
      </c>
      <c r="E81" s="1">
        <v>1</v>
      </c>
      <c r="F81" s="1">
        <v>1</v>
      </c>
      <c r="G81" s="1">
        <v>1</v>
      </c>
      <c r="H81" s="1">
        <v>1</v>
      </c>
      <c r="I81" s="1">
        <v>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998E-C824-498B-B596-3277394E8A39}">
  <dimension ref="B2:L81"/>
  <sheetViews>
    <sheetView showGridLines="0" tabSelected="1" workbookViewId="0">
      <selection activeCell="U13" sqref="U13"/>
    </sheetView>
  </sheetViews>
  <sheetFormatPr defaultRowHeight="14.5" x14ac:dyDescent="0.35"/>
  <cols>
    <col min="1" max="1" width="5.26953125" customWidth="1"/>
    <col min="2" max="2" width="19.1796875" bestFit="1" customWidth="1"/>
    <col min="3" max="3" width="12.7265625" bestFit="1" customWidth="1"/>
    <col min="4" max="4" width="45.1796875" bestFit="1" customWidth="1"/>
    <col min="5" max="5" width="17.54296875" hidden="1" customWidth="1"/>
    <col min="6" max="6" width="13.26953125" hidden="1" customWidth="1"/>
    <col min="7" max="7" width="17.7265625" hidden="1" customWidth="1"/>
    <col min="8" max="8" width="13.453125" hidden="1" customWidth="1"/>
    <col min="9" max="9" width="8.54296875" hidden="1" customWidth="1"/>
    <col min="10" max="11" width="17.7265625" hidden="1" customWidth="1"/>
    <col min="12" max="12" width="17.7265625" bestFit="1" customWidth="1"/>
  </cols>
  <sheetData>
    <row r="2" spans="2:12" ht="35.25" customHeight="1" x14ac:dyDescent="0.35">
      <c r="B2" s="2" t="s">
        <v>334</v>
      </c>
      <c r="C2" s="2" t="s">
        <v>333</v>
      </c>
      <c r="D2" s="2" t="s">
        <v>332</v>
      </c>
      <c r="E2" s="2" t="s">
        <v>335</v>
      </c>
      <c r="F2" s="2" t="s">
        <v>336</v>
      </c>
      <c r="G2" s="2" t="s">
        <v>337</v>
      </c>
      <c r="H2" s="2" t="s">
        <v>338</v>
      </c>
      <c r="I2" s="2" t="s">
        <v>339</v>
      </c>
      <c r="J2" s="2" t="s">
        <v>309</v>
      </c>
      <c r="K2" s="2" t="s">
        <v>310</v>
      </c>
      <c r="L2" s="2" t="s">
        <v>352</v>
      </c>
    </row>
    <row r="3" spans="2:12" x14ac:dyDescent="0.35">
      <c r="B3" s="1" t="s">
        <v>5</v>
      </c>
      <c r="C3" s="1">
        <v>2003</v>
      </c>
      <c r="D3" s="1" t="s">
        <v>7</v>
      </c>
      <c r="E3" s="1">
        <v>1</v>
      </c>
      <c r="F3" s="1">
        <v>1</v>
      </c>
      <c r="G3" s="1">
        <v>1</v>
      </c>
      <c r="H3" s="1">
        <v>0</v>
      </c>
      <c r="I3" s="1">
        <v>1</v>
      </c>
      <c r="J3" s="1">
        <f>COUNTIF('TABELA DISSERTAÇÃO'!E3:I3,"&lt;&gt;9")</f>
        <v>5</v>
      </c>
      <c r="K3" s="1">
        <f>SUMIF('TABELA DISSERTAÇÃO'!E3:I3,"&lt;&gt;9")</f>
        <v>4</v>
      </c>
      <c r="L3" s="1">
        <f>IFERROR(ROUND(K3/J3,0),9)</f>
        <v>1</v>
      </c>
    </row>
    <row r="4" spans="2:12" x14ac:dyDescent="0.35">
      <c r="B4" s="1" t="s">
        <v>5</v>
      </c>
      <c r="C4" s="1">
        <v>2007</v>
      </c>
      <c r="D4" s="1" t="s">
        <v>9</v>
      </c>
      <c r="E4" s="1">
        <v>1</v>
      </c>
      <c r="F4" s="1">
        <v>1</v>
      </c>
      <c r="G4" s="1">
        <v>1</v>
      </c>
      <c r="H4" s="1">
        <v>0</v>
      </c>
      <c r="I4" s="1">
        <v>1</v>
      </c>
      <c r="J4" s="1">
        <f>COUNTIF('TABELA DISSERTAÇÃO'!E4:I4,"&lt;&gt;9")</f>
        <v>5</v>
      </c>
      <c r="K4" s="1">
        <f>SUMIF('TABELA DISSERTAÇÃO'!E4:I4,"&lt;&gt;9")</f>
        <v>4</v>
      </c>
      <c r="L4" s="1">
        <f t="shared" ref="L4:L67" si="0">IFERROR(ROUND(K4/J4,0),9)</f>
        <v>1</v>
      </c>
    </row>
    <row r="5" spans="2:12" x14ac:dyDescent="0.35">
      <c r="B5" s="1" t="s">
        <v>5</v>
      </c>
      <c r="C5" s="1">
        <v>2011</v>
      </c>
      <c r="D5" s="1" t="s">
        <v>9</v>
      </c>
      <c r="E5" s="1">
        <v>1</v>
      </c>
      <c r="F5" s="1">
        <v>1</v>
      </c>
      <c r="G5" s="1">
        <v>1</v>
      </c>
      <c r="H5" s="1">
        <v>0</v>
      </c>
      <c r="I5" s="1">
        <v>1</v>
      </c>
      <c r="J5" s="1">
        <f>COUNTIF('TABELA DISSERTAÇÃO'!E5:I5,"&lt;&gt;9")</f>
        <v>5</v>
      </c>
      <c r="K5" s="1">
        <f>SUMIF('TABELA DISSERTAÇÃO'!E5:I5,"&lt;&gt;9")</f>
        <v>4</v>
      </c>
      <c r="L5" s="1">
        <f t="shared" si="0"/>
        <v>1</v>
      </c>
    </row>
    <row r="6" spans="2:12" x14ac:dyDescent="0.35">
      <c r="B6" s="1" t="s">
        <v>5</v>
      </c>
      <c r="C6" s="1">
        <v>2015</v>
      </c>
      <c r="D6" s="1" t="s">
        <v>10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f>COUNTIF('TABELA DISSERTAÇÃO'!E6:I6,"&lt;&gt;9")</f>
        <v>5</v>
      </c>
      <c r="K6" s="1">
        <f>SUMIF('TABELA DISSERTAÇÃO'!E6:I6,"&lt;&gt;9")</f>
        <v>0</v>
      </c>
      <c r="L6" s="1">
        <f t="shared" si="0"/>
        <v>0</v>
      </c>
    </row>
    <row r="7" spans="2:12" x14ac:dyDescent="0.35">
      <c r="B7" s="1" t="s">
        <v>5</v>
      </c>
      <c r="C7" s="1">
        <v>2019</v>
      </c>
      <c r="D7" s="1" t="s">
        <v>11</v>
      </c>
      <c r="E7" s="1">
        <v>0</v>
      </c>
      <c r="F7" s="1">
        <v>0</v>
      </c>
      <c r="G7" s="1">
        <v>0</v>
      </c>
      <c r="H7" s="1">
        <v>0</v>
      </c>
      <c r="I7" s="1">
        <v>9</v>
      </c>
      <c r="J7" s="1">
        <f>COUNTIF('TABELA DISSERTAÇÃO'!E7:I7,"&lt;&gt;9")</f>
        <v>4</v>
      </c>
      <c r="K7" s="1">
        <f>SUMIF('TABELA DISSERTAÇÃO'!E7:I7,"&lt;&gt;9")</f>
        <v>0</v>
      </c>
      <c r="L7" s="1">
        <f t="shared" si="0"/>
        <v>0</v>
      </c>
    </row>
    <row r="8" spans="2:12" x14ac:dyDescent="0.35">
      <c r="B8" s="1" t="s">
        <v>341</v>
      </c>
      <c r="C8" s="1">
        <v>2005</v>
      </c>
      <c r="D8" s="1" t="s">
        <v>16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f>COUNTIF('TABELA DISSERTAÇÃO'!E8:I8,"&lt;&gt;9")</f>
        <v>5</v>
      </c>
      <c r="K8" s="1">
        <f>SUMIF('TABELA DISSERTAÇÃO'!E8:I8,"&lt;&gt;9")</f>
        <v>0</v>
      </c>
      <c r="L8" s="1">
        <f t="shared" si="0"/>
        <v>0</v>
      </c>
    </row>
    <row r="9" spans="2:12" x14ac:dyDescent="0.35">
      <c r="B9" s="1" t="s">
        <v>341</v>
      </c>
      <c r="C9" s="1">
        <v>2006</v>
      </c>
      <c r="D9" s="1" t="s">
        <v>17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f>COUNTIF('TABELA DISSERTAÇÃO'!E9:I9,"&lt;&gt;9")</f>
        <v>5</v>
      </c>
      <c r="K9" s="1">
        <f>SUMIF('TABELA DISSERTAÇÃO'!E9:I9,"&lt;&gt;9")</f>
        <v>5</v>
      </c>
      <c r="L9" s="1">
        <f t="shared" si="0"/>
        <v>1</v>
      </c>
    </row>
    <row r="10" spans="2:12" x14ac:dyDescent="0.35">
      <c r="B10" s="1" t="s">
        <v>341</v>
      </c>
      <c r="C10" s="1">
        <v>2010</v>
      </c>
      <c r="D10" s="1" t="s">
        <v>17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f>COUNTIF('TABELA DISSERTAÇÃO'!E10:I10,"&lt;&gt;9")</f>
        <v>5</v>
      </c>
      <c r="K10" s="1">
        <f>SUMIF('TABELA DISSERTAÇÃO'!E10:I10,"&lt;&gt;9")</f>
        <v>5</v>
      </c>
      <c r="L10" s="1">
        <f t="shared" si="0"/>
        <v>1</v>
      </c>
    </row>
    <row r="11" spans="2:12" x14ac:dyDescent="0.35">
      <c r="B11" s="1" t="s">
        <v>341</v>
      </c>
      <c r="C11" s="1">
        <v>2015</v>
      </c>
      <c r="D11" s="1" t="s">
        <v>17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f>COUNTIF('TABELA DISSERTAÇÃO'!E11:I11,"&lt;&gt;9")</f>
        <v>5</v>
      </c>
      <c r="K11" s="1">
        <f>SUMIF('TABELA DISSERTAÇÃO'!E11:I11,"&lt;&gt;9")</f>
        <v>5</v>
      </c>
      <c r="L11" s="1">
        <f t="shared" si="0"/>
        <v>1</v>
      </c>
    </row>
    <row r="12" spans="2:12" x14ac:dyDescent="0.35">
      <c r="B12" s="1" t="s">
        <v>341</v>
      </c>
      <c r="C12" s="1">
        <v>2019</v>
      </c>
      <c r="D12" s="1" t="s">
        <v>19</v>
      </c>
      <c r="E12" s="1">
        <v>0</v>
      </c>
      <c r="F12" s="1">
        <v>0</v>
      </c>
      <c r="G12" s="1">
        <v>0</v>
      </c>
      <c r="H12" s="1">
        <v>0</v>
      </c>
      <c r="I12" s="1">
        <v>9</v>
      </c>
      <c r="J12" s="1">
        <f>COUNTIF('TABELA DISSERTAÇÃO'!E12:I12,"&lt;&gt;9")</f>
        <v>4</v>
      </c>
      <c r="K12" s="1">
        <f>SUMIF('TABELA DISSERTAÇÃO'!E12:I12,"&lt;&gt;9")</f>
        <v>0</v>
      </c>
      <c r="L12" s="1">
        <f t="shared" si="0"/>
        <v>0</v>
      </c>
    </row>
    <row r="13" spans="2:12" x14ac:dyDescent="0.35">
      <c r="B13" s="1" t="s">
        <v>341</v>
      </c>
      <c r="C13" s="1">
        <v>2020</v>
      </c>
      <c r="D13" s="1" t="s">
        <v>20</v>
      </c>
      <c r="E13" s="1">
        <v>0</v>
      </c>
      <c r="F13" s="1">
        <v>9</v>
      </c>
      <c r="G13" s="1">
        <v>9</v>
      </c>
      <c r="H13" s="1">
        <v>0</v>
      </c>
      <c r="I13" s="1">
        <v>9</v>
      </c>
      <c r="J13" s="1">
        <f>COUNTIF('TABELA DISSERTAÇÃO'!E13:I13,"&lt;&gt;9")</f>
        <v>2</v>
      </c>
      <c r="K13" s="1">
        <f>SUMIF('TABELA DISSERTAÇÃO'!E13:I13,"&lt;&gt;9")</f>
        <v>0</v>
      </c>
      <c r="L13" s="1">
        <f t="shared" si="0"/>
        <v>0</v>
      </c>
    </row>
    <row r="14" spans="2:12" x14ac:dyDescent="0.35">
      <c r="B14" s="1" t="s">
        <v>340</v>
      </c>
      <c r="C14" s="1">
        <v>2003</v>
      </c>
      <c r="D14" s="1" t="s">
        <v>23</v>
      </c>
      <c r="E14" s="1">
        <v>0</v>
      </c>
      <c r="F14" s="1">
        <v>0</v>
      </c>
      <c r="G14" s="1">
        <v>9</v>
      </c>
      <c r="H14" s="1">
        <v>0</v>
      </c>
      <c r="I14" s="1">
        <v>0</v>
      </c>
      <c r="J14" s="1">
        <f>COUNTIF('TABELA DISSERTAÇÃO'!E14:I14,"&lt;&gt;9")</f>
        <v>4</v>
      </c>
      <c r="K14" s="1">
        <f>SUMIF('TABELA DISSERTAÇÃO'!E14:I14,"&lt;&gt;9")</f>
        <v>0</v>
      </c>
      <c r="L14" s="1">
        <f t="shared" si="0"/>
        <v>0</v>
      </c>
    </row>
    <row r="15" spans="2:12" x14ac:dyDescent="0.35">
      <c r="B15" s="1" t="s">
        <v>340</v>
      </c>
      <c r="C15" s="1">
        <v>2007</v>
      </c>
      <c r="D15" s="1" t="s">
        <v>23</v>
      </c>
      <c r="E15" s="1">
        <v>0</v>
      </c>
      <c r="F15" s="1">
        <v>0</v>
      </c>
      <c r="G15" s="1">
        <v>9</v>
      </c>
      <c r="H15" s="1">
        <v>0</v>
      </c>
      <c r="I15" s="1">
        <v>0</v>
      </c>
      <c r="J15" s="1">
        <f>COUNTIF('TABELA DISSERTAÇÃO'!E15:I15,"&lt;&gt;9")</f>
        <v>4</v>
      </c>
      <c r="K15" s="1">
        <f>SUMIF('TABELA DISSERTAÇÃO'!E15:I15,"&lt;&gt;9")</f>
        <v>0</v>
      </c>
      <c r="L15" s="1">
        <f t="shared" si="0"/>
        <v>0</v>
      </c>
    </row>
    <row r="16" spans="2:12" x14ac:dyDescent="0.35">
      <c r="B16" s="1" t="s">
        <v>340</v>
      </c>
      <c r="C16" s="1">
        <v>2011</v>
      </c>
      <c r="D16" s="1" t="s">
        <v>24</v>
      </c>
      <c r="E16" s="1">
        <v>0</v>
      </c>
      <c r="F16" s="1">
        <v>0</v>
      </c>
      <c r="G16" s="1">
        <v>9</v>
      </c>
      <c r="H16" s="1">
        <v>0</v>
      </c>
      <c r="I16" s="1">
        <v>0</v>
      </c>
      <c r="J16" s="1">
        <f>COUNTIF('TABELA DISSERTAÇÃO'!E16:I16,"&lt;&gt;9")</f>
        <v>4</v>
      </c>
      <c r="K16" s="1">
        <f>SUMIF('TABELA DISSERTAÇÃO'!E16:I16,"&lt;&gt;9")</f>
        <v>0</v>
      </c>
      <c r="L16" s="1">
        <f t="shared" si="0"/>
        <v>0</v>
      </c>
    </row>
    <row r="17" spans="2:12" x14ac:dyDescent="0.35">
      <c r="B17" s="1" t="s">
        <v>340</v>
      </c>
      <c r="C17" s="1">
        <v>2015</v>
      </c>
      <c r="D17" s="1" t="s">
        <v>24</v>
      </c>
      <c r="E17" s="1">
        <v>0</v>
      </c>
      <c r="F17" s="1">
        <v>0</v>
      </c>
      <c r="G17" s="1">
        <v>9</v>
      </c>
      <c r="H17" s="1">
        <v>0</v>
      </c>
      <c r="I17" s="1">
        <v>0</v>
      </c>
      <c r="J17" s="1">
        <f>COUNTIF('TABELA DISSERTAÇÃO'!E17:I17,"&lt;&gt;9")</f>
        <v>4</v>
      </c>
      <c r="K17" s="1">
        <f>SUMIF('TABELA DISSERTAÇÃO'!E17:I17,"&lt;&gt;9")</f>
        <v>0</v>
      </c>
      <c r="L17" s="1">
        <f t="shared" si="0"/>
        <v>0</v>
      </c>
    </row>
    <row r="18" spans="2:12" x14ac:dyDescent="0.35">
      <c r="B18" s="1" t="s">
        <v>340</v>
      </c>
      <c r="C18" s="1">
        <v>2016</v>
      </c>
      <c r="D18" s="1" t="s">
        <v>25</v>
      </c>
      <c r="E18" s="1">
        <v>0</v>
      </c>
      <c r="F18" s="1">
        <v>0</v>
      </c>
      <c r="G18" s="1">
        <v>9</v>
      </c>
      <c r="H18" s="1">
        <v>0</v>
      </c>
      <c r="I18" s="1">
        <v>0</v>
      </c>
      <c r="J18" s="1">
        <f>COUNTIF('TABELA DISSERTAÇÃO'!E18:I18,"&lt;&gt;9")</f>
        <v>4</v>
      </c>
      <c r="K18" s="1">
        <f>SUMIF('TABELA DISSERTAÇÃO'!E18:I18,"&lt;&gt;9")</f>
        <v>0</v>
      </c>
      <c r="L18" s="1">
        <f t="shared" si="0"/>
        <v>0</v>
      </c>
    </row>
    <row r="19" spans="2:12" x14ac:dyDescent="0.35">
      <c r="B19" s="1" t="s">
        <v>340</v>
      </c>
      <c r="C19" s="1">
        <v>2019</v>
      </c>
      <c r="D19" s="1" t="s">
        <v>26</v>
      </c>
      <c r="E19" s="1">
        <v>1</v>
      </c>
      <c r="F19" s="1">
        <v>1</v>
      </c>
      <c r="G19" s="1">
        <v>9</v>
      </c>
      <c r="H19" s="1">
        <v>0</v>
      </c>
      <c r="I19" s="1">
        <v>1</v>
      </c>
      <c r="J19" s="1">
        <f>COUNTIF('TABELA DISSERTAÇÃO'!E19:I19,"&lt;&gt;9")</f>
        <v>4</v>
      </c>
      <c r="K19" s="1">
        <f>SUMIF('TABELA DISSERTAÇÃO'!E19:I19,"&lt;&gt;9")</f>
        <v>3</v>
      </c>
      <c r="L19" s="1">
        <f t="shared" si="0"/>
        <v>1</v>
      </c>
    </row>
    <row r="20" spans="2:12" x14ac:dyDescent="0.35">
      <c r="B20" s="1" t="s">
        <v>27</v>
      </c>
      <c r="C20" s="1">
        <v>2000</v>
      </c>
      <c r="D20" s="1" t="s">
        <v>29</v>
      </c>
      <c r="E20" s="1">
        <v>0</v>
      </c>
      <c r="F20" s="1">
        <v>9</v>
      </c>
      <c r="G20" s="1">
        <v>9</v>
      </c>
      <c r="H20" s="1">
        <v>0</v>
      </c>
      <c r="I20" s="1">
        <v>9</v>
      </c>
      <c r="J20" s="1">
        <f>COUNTIF('TABELA DISSERTAÇÃO'!E20:I20,"&lt;&gt;9")</f>
        <v>2</v>
      </c>
      <c r="K20" s="1">
        <f>SUMIF('TABELA DISSERTAÇÃO'!E20:I20,"&lt;&gt;9")</f>
        <v>0</v>
      </c>
      <c r="L20" s="1">
        <f t="shared" si="0"/>
        <v>0</v>
      </c>
    </row>
    <row r="21" spans="2:12" x14ac:dyDescent="0.35">
      <c r="B21" s="1" t="s">
        <v>27</v>
      </c>
      <c r="C21" s="1">
        <v>2006</v>
      </c>
      <c r="D21" s="1" t="s">
        <v>30</v>
      </c>
      <c r="E21" s="1">
        <v>0</v>
      </c>
      <c r="F21" s="1">
        <v>9</v>
      </c>
      <c r="G21" s="1">
        <v>9</v>
      </c>
      <c r="H21" s="1">
        <v>0</v>
      </c>
      <c r="I21" s="1">
        <v>9</v>
      </c>
      <c r="J21" s="1">
        <f>COUNTIF('TABELA DISSERTAÇÃO'!E21:I21,"&lt;&gt;9")</f>
        <v>2</v>
      </c>
      <c r="K21" s="1">
        <f>SUMIF('TABELA DISSERTAÇÃO'!E21:I21,"&lt;&gt;9")</f>
        <v>0</v>
      </c>
      <c r="L21" s="1">
        <f t="shared" si="0"/>
        <v>0</v>
      </c>
    </row>
    <row r="22" spans="2:12" x14ac:dyDescent="0.35">
      <c r="B22" s="1" t="s">
        <v>27</v>
      </c>
      <c r="C22" s="1">
        <v>2010</v>
      </c>
      <c r="D22" s="1" t="s">
        <v>31</v>
      </c>
      <c r="E22" s="1">
        <v>0</v>
      </c>
      <c r="F22" s="1">
        <v>9</v>
      </c>
      <c r="G22" s="1">
        <v>9</v>
      </c>
      <c r="H22" s="1">
        <v>0</v>
      </c>
      <c r="I22" s="1">
        <v>9</v>
      </c>
      <c r="J22" s="1">
        <f>COUNTIF('TABELA DISSERTAÇÃO'!E22:I22,"&lt;&gt;9")</f>
        <v>2</v>
      </c>
      <c r="K22" s="1">
        <f>SUMIF('TABELA DISSERTAÇÃO'!E22:I22,"&lt;&gt;9")</f>
        <v>0</v>
      </c>
      <c r="L22" s="1">
        <f t="shared" si="0"/>
        <v>0</v>
      </c>
    </row>
    <row r="23" spans="2:12" x14ac:dyDescent="0.35">
      <c r="B23" s="1" t="s">
        <v>27</v>
      </c>
      <c r="C23" s="1">
        <v>2014</v>
      </c>
      <c r="D23" s="1" t="s">
        <v>30</v>
      </c>
      <c r="E23" s="1">
        <v>0</v>
      </c>
      <c r="F23" s="1">
        <v>9</v>
      </c>
      <c r="G23" s="1">
        <v>9</v>
      </c>
      <c r="H23" s="1">
        <v>0</v>
      </c>
      <c r="I23" s="1">
        <v>9</v>
      </c>
      <c r="J23" s="1">
        <f>COUNTIF('TABELA DISSERTAÇÃO'!E23:I23,"&lt;&gt;9")</f>
        <v>2</v>
      </c>
      <c r="K23" s="1">
        <f>SUMIF('TABELA DISSERTAÇÃO'!E23:I23,"&lt;&gt;9")</f>
        <v>0</v>
      </c>
      <c r="L23" s="1">
        <f t="shared" si="0"/>
        <v>0</v>
      </c>
    </row>
    <row r="24" spans="2:12" x14ac:dyDescent="0.35">
      <c r="B24" s="1" t="s">
        <v>27</v>
      </c>
      <c r="C24" s="1">
        <v>2018</v>
      </c>
      <c r="D24" s="1" t="s">
        <v>31</v>
      </c>
      <c r="E24" s="1">
        <v>0</v>
      </c>
      <c r="F24" s="1">
        <v>9</v>
      </c>
      <c r="G24" s="1">
        <v>9</v>
      </c>
      <c r="H24" s="1">
        <v>0</v>
      </c>
      <c r="I24" s="1">
        <v>9</v>
      </c>
      <c r="J24" s="1">
        <f>COUNTIF('TABELA DISSERTAÇÃO'!E24:I24,"&lt;&gt;9")</f>
        <v>2</v>
      </c>
      <c r="K24" s="1">
        <f>SUMIF('TABELA DISSERTAÇÃO'!E24:I24,"&lt;&gt;9")</f>
        <v>0</v>
      </c>
      <c r="L24" s="1">
        <f t="shared" si="0"/>
        <v>0</v>
      </c>
    </row>
    <row r="25" spans="2:12" x14ac:dyDescent="0.35">
      <c r="B25" s="1" t="s">
        <v>342</v>
      </c>
      <c r="C25" s="1">
        <v>2002</v>
      </c>
      <c r="D25" s="1" t="s">
        <v>34</v>
      </c>
      <c r="E25" s="1">
        <v>9</v>
      </c>
      <c r="F25" s="1">
        <v>9</v>
      </c>
      <c r="G25" s="1">
        <v>9</v>
      </c>
      <c r="H25" s="1">
        <v>0</v>
      </c>
      <c r="I25" s="1">
        <v>9</v>
      </c>
      <c r="J25" s="1">
        <f>COUNTIF('TABELA DISSERTAÇÃO'!E25:I25,"&lt;&gt;9")</f>
        <v>1</v>
      </c>
      <c r="K25" s="1">
        <f>SUMIF('TABELA DISSERTAÇÃO'!E25:I25,"&lt;&gt;9")</f>
        <v>0</v>
      </c>
      <c r="L25" s="1">
        <f t="shared" si="0"/>
        <v>0</v>
      </c>
    </row>
    <row r="26" spans="2:12" x14ac:dyDescent="0.35">
      <c r="B26" s="1" t="s">
        <v>342</v>
      </c>
      <c r="C26" s="1">
        <v>2006</v>
      </c>
      <c r="D26" s="1" t="s">
        <v>34</v>
      </c>
      <c r="E26" s="1">
        <v>9</v>
      </c>
      <c r="F26" s="1">
        <v>9</v>
      </c>
      <c r="G26" s="1">
        <v>9</v>
      </c>
      <c r="H26" s="1">
        <v>0</v>
      </c>
      <c r="I26" s="1">
        <v>9</v>
      </c>
      <c r="J26" s="1">
        <f>COUNTIF('TABELA DISSERTAÇÃO'!E26:I26,"&lt;&gt;9")</f>
        <v>1</v>
      </c>
      <c r="K26" s="1">
        <f>SUMIF('TABELA DISSERTAÇÃO'!E26:I26,"&lt;&gt;9")</f>
        <v>0</v>
      </c>
      <c r="L26" s="1">
        <f t="shared" si="0"/>
        <v>0</v>
      </c>
    </row>
    <row r="27" spans="2:12" x14ac:dyDescent="0.35">
      <c r="B27" s="1" t="s">
        <v>342</v>
      </c>
      <c r="C27" s="1">
        <v>2010</v>
      </c>
      <c r="D27" s="1" t="s">
        <v>35</v>
      </c>
      <c r="E27" s="1">
        <v>9</v>
      </c>
      <c r="F27" s="1">
        <v>9</v>
      </c>
      <c r="G27" s="1">
        <v>9</v>
      </c>
      <c r="H27" s="1">
        <v>0</v>
      </c>
      <c r="I27" s="1">
        <v>9</v>
      </c>
      <c r="J27" s="1">
        <f>COUNTIF('TABELA DISSERTAÇÃO'!E27:I27,"&lt;&gt;9")</f>
        <v>1</v>
      </c>
      <c r="K27" s="1">
        <f>SUMIF('TABELA DISSERTAÇÃO'!E27:I27,"&lt;&gt;9")</f>
        <v>0</v>
      </c>
      <c r="L27" s="1">
        <f t="shared" si="0"/>
        <v>0</v>
      </c>
    </row>
    <row r="28" spans="2:12" x14ac:dyDescent="0.35">
      <c r="B28" s="1" t="s">
        <v>342</v>
      </c>
      <c r="C28" s="1">
        <v>2014</v>
      </c>
      <c r="D28" s="1" t="s">
        <v>35</v>
      </c>
      <c r="E28" s="1">
        <v>9</v>
      </c>
      <c r="F28" s="1">
        <v>9</v>
      </c>
      <c r="G28" s="1">
        <v>9</v>
      </c>
      <c r="H28" s="1">
        <v>0</v>
      </c>
      <c r="I28" s="1">
        <v>9</v>
      </c>
      <c r="J28" s="1">
        <f>COUNTIF('TABELA DISSERTAÇÃO'!E28:I28,"&lt;&gt;9")</f>
        <v>1</v>
      </c>
      <c r="K28" s="1">
        <f>SUMIF('TABELA DISSERTAÇÃO'!E28:I28,"&lt;&gt;9")</f>
        <v>0</v>
      </c>
      <c r="L28" s="1">
        <f t="shared" si="0"/>
        <v>0</v>
      </c>
    </row>
    <row r="29" spans="2:12" x14ac:dyDescent="0.35">
      <c r="B29" s="1" t="s">
        <v>342</v>
      </c>
      <c r="C29" s="1">
        <v>2018</v>
      </c>
      <c r="D29" s="1" t="s">
        <v>36</v>
      </c>
      <c r="E29" s="1">
        <v>9</v>
      </c>
      <c r="F29" s="1">
        <v>9</v>
      </c>
      <c r="G29" s="1">
        <v>9</v>
      </c>
      <c r="H29" s="1">
        <v>0</v>
      </c>
      <c r="I29" s="1">
        <v>9</v>
      </c>
      <c r="J29" s="1">
        <f>COUNTIF('TABELA DISSERTAÇÃO'!E29:I29,"&lt;&gt;9")</f>
        <v>1</v>
      </c>
      <c r="K29" s="1">
        <f>SUMIF('TABELA DISSERTAÇÃO'!E29:I29,"&lt;&gt;9")</f>
        <v>0</v>
      </c>
      <c r="L29" s="1">
        <f t="shared" si="0"/>
        <v>0</v>
      </c>
    </row>
    <row r="30" spans="2:12" x14ac:dyDescent="0.35">
      <c r="B30" s="1" t="s">
        <v>38</v>
      </c>
      <c r="C30" s="1">
        <v>2002</v>
      </c>
      <c r="D30" s="1" t="s">
        <v>40</v>
      </c>
      <c r="E30" s="1">
        <v>9</v>
      </c>
      <c r="F30" s="1">
        <v>9</v>
      </c>
      <c r="G30" s="1">
        <v>9</v>
      </c>
      <c r="H30" s="1">
        <v>0</v>
      </c>
      <c r="I30" s="1">
        <v>9</v>
      </c>
      <c r="J30" s="1">
        <f>COUNTIF('TABELA DISSERTAÇÃO'!E30:I30,"&lt;&gt;9")</f>
        <v>1</v>
      </c>
      <c r="K30" s="1">
        <f>SUMIF('TABELA DISSERTAÇÃO'!E30:I30,"&lt;&gt;9")</f>
        <v>0</v>
      </c>
      <c r="L30" s="1">
        <f t="shared" si="0"/>
        <v>0</v>
      </c>
    </row>
    <row r="31" spans="2:12" x14ac:dyDescent="0.35">
      <c r="B31" s="1" t="s">
        <v>38</v>
      </c>
      <c r="C31" s="1">
        <v>2006</v>
      </c>
      <c r="D31" s="1" t="s">
        <v>41</v>
      </c>
      <c r="E31" s="1">
        <v>9</v>
      </c>
      <c r="F31" s="1">
        <v>9</v>
      </c>
      <c r="G31" s="1">
        <v>9</v>
      </c>
      <c r="H31" s="1">
        <v>0</v>
      </c>
      <c r="I31" s="1">
        <v>9</v>
      </c>
      <c r="J31" s="1">
        <f>COUNTIF('TABELA DISSERTAÇÃO'!E31:I31,"&lt;&gt;9")</f>
        <v>1</v>
      </c>
      <c r="K31" s="1">
        <f>SUMIF('TABELA DISSERTAÇÃO'!E31:I31,"&lt;&gt;9")</f>
        <v>0</v>
      </c>
      <c r="L31" s="1">
        <f t="shared" si="0"/>
        <v>0</v>
      </c>
    </row>
    <row r="32" spans="2:12" x14ac:dyDescent="0.35">
      <c r="B32" s="1" t="s">
        <v>38</v>
      </c>
      <c r="C32" s="1">
        <v>2010</v>
      </c>
      <c r="D32" s="1" t="s">
        <v>42</v>
      </c>
      <c r="E32" s="1">
        <v>9</v>
      </c>
      <c r="F32" s="1">
        <v>9</v>
      </c>
      <c r="G32" s="1">
        <v>9</v>
      </c>
      <c r="H32" s="1">
        <v>0</v>
      </c>
      <c r="I32" s="1">
        <v>9</v>
      </c>
      <c r="J32" s="1">
        <f>COUNTIF('TABELA DISSERTAÇÃO'!E32:I32,"&lt;&gt;9")</f>
        <v>1</v>
      </c>
      <c r="K32" s="1">
        <f>SUMIF('TABELA DISSERTAÇÃO'!E32:I32,"&lt;&gt;9")</f>
        <v>0</v>
      </c>
      <c r="L32" s="1">
        <f t="shared" si="0"/>
        <v>0</v>
      </c>
    </row>
    <row r="33" spans="2:12" x14ac:dyDescent="0.35">
      <c r="B33" s="1" t="s">
        <v>38</v>
      </c>
      <c r="C33" s="1">
        <v>2014</v>
      </c>
      <c r="D33" s="1" t="s">
        <v>43</v>
      </c>
      <c r="E33" s="1">
        <v>9</v>
      </c>
      <c r="F33" s="1">
        <v>9</v>
      </c>
      <c r="G33" s="1">
        <v>9</v>
      </c>
      <c r="H33" s="1">
        <v>0</v>
      </c>
      <c r="I33" s="1">
        <v>9</v>
      </c>
      <c r="J33" s="1">
        <f>COUNTIF('TABELA DISSERTAÇÃO'!E33:I33,"&lt;&gt;9")</f>
        <v>1</v>
      </c>
      <c r="K33" s="1">
        <f>SUMIF('TABELA DISSERTAÇÃO'!E33:I33,"&lt;&gt;9")</f>
        <v>0</v>
      </c>
      <c r="L33" s="1">
        <f t="shared" si="0"/>
        <v>0</v>
      </c>
    </row>
    <row r="34" spans="2:12" x14ac:dyDescent="0.35">
      <c r="B34" s="1" t="s">
        <v>38</v>
      </c>
      <c r="C34" s="1">
        <v>2018</v>
      </c>
      <c r="D34" s="1" t="s">
        <v>44</v>
      </c>
      <c r="E34" s="1">
        <v>9</v>
      </c>
      <c r="F34" s="1">
        <v>9</v>
      </c>
      <c r="G34" s="1">
        <v>9</v>
      </c>
      <c r="H34" s="1">
        <v>0</v>
      </c>
      <c r="I34" s="1">
        <v>9</v>
      </c>
      <c r="J34" s="1">
        <f>COUNTIF('TABELA DISSERTAÇÃO'!E34:I34,"&lt;&gt;9")</f>
        <v>1</v>
      </c>
      <c r="K34" s="1">
        <f>SUMIF('TABELA DISSERTAÇÃO'!E34:I34,"&lt;&gt;9")</f>
        <v>0</v>
      </c>
      <c r="L34" s="1">
        <f t="shared" si="0"/>
        <v>0</v>
      </c>
    </row>
    <row r="35" spans="2:12" x14ac:dyDescent="0.35">
      <c r="B35" s="1" t="s">
        <v>343</v>
      </c>
      <c r="C35" s="1">
        <v>2000</v>
      </c>
      <c r="D35" s="1" t="s">
        <v>189</v>
      </c>
      <c r="E35" s="1">
        <v>9</v>
      </c>
      <c r="F35" s="1">
        <v>9</v>
      </c>
      <c r="G35" s="1">
        <v>9</v>
      </c>
      <c r="H35" s="1">
        <v>0</v>
      </c>
      <c r="I35" s="1">
        <v>9</v>
      </c>
      <c r="J35" s="1">
        <f>COUNTIF('TABELA DISSERTAÇÃO'!E35:I35,"&lt;&gt;9")</f>
        <v>1</v>
      </c>
      <c r="K35" s="1">
        <f>SUMIF('TABELA DISSERTAÇÃO'!E35:I35,"&lt;&gt;9")</f>
        <v>0</v>
      </c>
      <c r="L35" s="1">
        <f t="shared" si="0"/>
        <v>0</v>
      </c>
    </row>
    <row r="36" spans="2:12" x14ac:dyDescent="0.35">
      <c r="B36" s="1" t="s">
        <v>343</v>
      </c>
      <c r="C36" s="1">
        <v>2004</v>
      </c>
      <c r="D36" s="1" t="s">
        <v>48</v>
      </c>
      <c r="E36" s="1">
        <v>9</v>
      </c>
      <c r="F36" s="1">
        <v>9</v>
      </c>
      <c r="G36" s="1">
        <v>9</v>
      </c>
      <c r="H36" s="1">
        <v>0</v>
      </c>
      <c r="I36" s="1">
        <v>9</v>
      </c>
      <c r="J36" s="1">
        <f>COUNTIF('TABELA DISSERTAÇÃO'!E36:I36,"&lt;&gt;9")</f>
        <v>1</v>
      </c>
      <c r="K36" s="1">
        <f>SUMIF('TABELA DISSERTAÇÃO'!E36:I36,"&lt;&gt;9")</f>
        <v>0</v>
      </c>
      <c r="L36" s="1">
        <f t="shared" si="0"/>
        <v>0</v>
      </c>
    </row>
    <row r="37" spans="2:12" x14ac:dyDescent="0.35">
      <c r="B37" s="1" t="s">
        <v>343</v>
      </c>
      <c r="C37" s="1">
        <v>2008</v>
      </c>
      <c r="D37" s="1" t="s">
        <v>48</v>
      </c>
      <c r="E37" s="1">
        <v>9</v>
      </c>
      <c r="F37" s="1">
        <v>9</v>
      </c>
      <c r="G37" s="1">
        <v>9</v>
      </c>
      <c r="H37" s="1">
        <v>0</v>
      </c>
      <c r="I37" s="1">
        <v>9</v>
      </c>
      <c r="J37" s="1">
        <f>COUNTIF('TABELA DISSERTAÇÃO'!E37:I37,"&lt;&gt;9")</f>
        <v>1</v>
      </c>
      <c r="K37" s="1">
        <f>SUMIF('TABELA DISSERTAÇÃO'!E37:I37,"&lt;&gt;9")</f>
        <v>0</v>
      </c>
      <c r="L37" s="1">
        <f t="shared" si="0"/>
        <v>0</v>
      </c>
    </row>
    <row r="38" spans="2:12" x14ac:dyDescent="0.35">
      <c r="B38" s="1" t="s">
        <v>343</v>
      </c>
      <c r="C38" s="1">
        <v>2012</v>
      </c>
      <c r="D38" s="1" t="s">
        <v>49</v>
      </c>
      <c r="E38" s="1">
        <v>9</v>
      </c>
      <c r="F38" s="1">
        <v>9</v>
      </c>
      <c r="G38" s="1">
        <v>9</v>
      </c>
      <c r="H38" s="1">
        <v>0</v>
      </c>
      <c r="I38" s="1">
        <v>9</v>
      </c>
      <c r="J38" s="1">
        <f>COUNTIF('TABELA DISSERTAÇÃO'!E38:I38,"&lt;&gt;9")</f>
        <v>1</v>
      </c>
      <c r="K38" s="1">
        <f>SUMIF('TABELA DISSERTAÇÃO'!E38:I38,"&lt;&gt;9")</f>
        <v>0</v>
      </c>
      <c r="L38" s="1">
        <f t="shared" si="0"/>
        <v>0</v>
      </c>
    </row>
    <row r="39" spans="2:12" x14ac:dyDescent="0.35">
      <c r="B39" s="1" t="s">
        <v>343</v>
      </c>
      <c r="C39" s="1">
        <v>2016</v>
      </c>
      <c r="D39" s="1" t="s">
        <v>49</v>
      </c>
      <c r="E39" s="1">
        <v>9</v>
      </c>
      <c r="F39" s="1">
        <v>9</v>
      </c>
      <c r="G39" s="1">
        <v>9</v>
      </c>
      <c r="H39" s="1">
        <v>0</v>
      </c>
      <c r="I39" s="1">
        <v>9</v>
      </c>
      <c r="J39" s="1">
        <f>COUNTIF('TABELA DISSERTAÇÃO'!E39:I39,"&lt;&gt;9")</f>
        <v>1</v>
      </c>
      <c r="K39" s="1">
        <f>SUMIF('TABELA DISSERTAÇÃO'!E39:I39,"&lt;&gt;9")</f>
        <v>0</v>
      </c>
      <c r="L39" s="1">
        <f t="shared" si="0"/>
        <v>0</v>
      </c>
    </row>
    <row r="40" spans="2:12" x14ac:dyDescent="0.35">
      <c r="B40" s="1" t="s">
        <v>343</v>
      </c>
      <c r="C40" s="1">
        <v>2020</v>
      </c>
      <c r="D40" s="1" t="s">
        <v>50</v>
      </c>
      <c r="E40" s="1">
        <v>9</v>
      </c>
      <c r="F40" s="1">
        <v>9</v>
      </c>
      <c r="G40" s="1">
        <v>9</v>
      </c>
      <c r="H40" s="1">
        <v>0</v>
      </c>
      <c r="I40" s="1">
        <v>9</v>
      </c>
      <c r="J40" s="1">
        <f>COUNTIF('TABELA DISSERTAÇÃO'!E40:I40,"&lt;&gt;9")</f>
        <v>1</v>
      </c>
      <c r="K40" s="1">
        <f>SUMIF('TABELA DISSERTAÇÃO'!E40:I40,"&lt;&gt;9")</f>
        <v>0</v>
      </c>
      <c r="L40" s="1">
        <f t="shared" si="0"/>
        <v>0</v>
      </c>
    </row>
    <row r="41" spans="2:12" x14ac:dyDescent="0.35">
      <c r="B41" s="1" t="s">
        <v>344</v>
      </c>
      <c r="C41" s="1">
        <v>2003</v>
      </c>
      <c r="D41" s="1" t="s">
        <v>304</v>
      </c>
      <c r="E41" s="1">
        <v>1</v>
      </c>
      <c r="F41" s="1">
        <v>1</v>
      </c>
      <c r="G41" s="1">
        <v>0</v>
      </c>
      <c r="H41" s="1">
        <v>1</v>
      </c>
      <c r="I41" s="1">
        <v>0</v>
      </c>
      <c r="J41" s="1">
        <f>COUNTIF('TABELA DISSERTAÇÃO'!E41:I41,"&lt;&gt;9")</f>
        <v>5</v>
      </c>
      <c r="K41" s="1">
        <f>SUMIF('TABELA DISSERTAÇÃO'!E41:I41,"&lt;&gt;9")</f>
        <v>3</v>
      </c>
      <c r="L41" s="1">
        <f t="shared" si="0"/>
        <v>1</v>
      </c>
    </row>
    <row r="42" spans="2:12" x14ac:dyDescent="0.35">
      <c r="B42" s="1" t="s">
        <v>344</v>
      </c>
      <c r="C42" s="1">
        <v>2007</v>
      </c>
      <c r="D42" s="1" t="s">
        <v>55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f>COUNTIF('TABELA DISSERTAÇÃO'!E42:I42,"&lt;&gt;9")</f>
        <v>5</v>
      </c>
      <c r="K42" s="1">
        <f>SUMIF('TABELA DISSERTAÇÃO'!E42:I42,"&lt;&gt;9")</f>
        <v>5</v>
      </c>
      <c r="L42" s="1">
        <f t="shared" si="0"/>
        <v>1</v>
      </c>
    </row>
    <row r="43" spans="2:12" x14ac:dyDescent="0.35">
      <c r="B43" s="1" t="s">
        <v>344</v>
      </c>
      <c r="C43" s="1">
        <v>2009</v>
      </c>
      <c r="D43" s="1" t="s">
        <v>55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f>COUNTIF('TABELA DISSERTAÇÃO'!E43:I43,"&lt;&gt;9")</f>
        <v>5</v>
      </c>
      <c r="K43" s="1">
        <f>SUMIF('TABELA DISSERTAÇÃO'!E43:I43,"&lt;&gt;9")</f>
        <v>5</v>
      </c>
      <c r="L43" s="1">
        <f t="shared" si="0"/>
        <v>1</v>
      </c>
    </row>
    <row r="44" spans="2:12" x14ac:dyDescent="0.35">
      <c r="B44" s="1" t="s">
        <v>344</v>
      </c>
      <c r="C44" s="1">
        <v>2013</v>
      </c>
      <c r="D44" s="1" t="s">
        <v>55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f>COUNTIF('TABELA DISSERTAÇÃO'!E44:I44,"&lt;&gt;9")</f>
        <v>5</v>
      </c>
      <c r="K44" s="1">
        <f>SUMIF('TABELA DISSERTAÇÃO'!E44:I44,"&lt;&gt;9")</f>
        <v>5</v>
      </c>
      <c r="L44" s="1">
        <f t="shared" si="0"/>
        <v>1</v>
      </c>
    </row>
    <row r="45" spans="2:12" x14ac:dyDescent="0.35">
      <c r="B45" s="1" t="s">
        <v>344</v>
      </c>
      <c r="C45" s="1">
        <v>2017</v>
      </c>
      <c r="D45" s="1" t="s">
        <v>56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f>COUNTIF('TABELA DISSERTAÇÃO'!E45:I45,"&lt;&gt;9")</f>
        <v>5</v>
      </c>
      <c r="K45" s="1">
        <f>SUMIF('TABELA DISSERTAÇÃO'!E45:I45,"&lt;&gt;9")</f>
        <v>0</v>
      </c>
      <c r="L45" s="1">
        <f t="shared" si="0"/>
        <v>0</v>
      </c>
    </row>
    <row r="46" spans="2:12" x14ac:dyDescent="0.35">
      <c r="B46" s="1" t="s">
        <v>59</v>
      </c>
      <c r="C46" s="1">
        <v>2004</v>
      </c>
      <c r="D46" s="1" t="s">
        <v>61</v>
      </c>
      <c r="E46" s="1">
        <v>9</v>
      </c>
      <c r="F46" s="1">
        <v>9</v>
      </c>
      <c r="G46" s="1">
        <v>9</v>
      </c>
      <c r="H46" s="1">
        <v>0</v>
      </c>
      <c r="I46" s="1">
        <v>9</v>
      </c>
      <c r="J46" s="1">
        <f>COUNTIF('TABELA DISSERTAÇÃO'!E46:I46,"&lt;&gt;9")</f>
        <v>1</v>
      </c>
      <c r="K46" s="1">
        <f>SUMIF('TABELA DISSERTAÇÃO'!E46:I46,"&lt;&gt;9")</f>
        <v>0</v>
      </c>
      <c r="L46" s="1">
        <f t="shared" si="0"/>
        <v>0</v>
      </c>
    </row>
    <row r="47" spans="2:12" x14ac:dyDescent="0.35">
      <c r="B47" s="1" t="s">
        <v>59</v>
      </c>
      <c r="C47" s="1">
        <v>2009</v>
      </c>
      <c r="D47" s="1" t="s">
        <v>62</v>
      </c>
      <c r="E47" s="1">
        <v>9</v>
      </c>
      <c r="F47" s="1">
        <v>9</v>
      </c>
      <c r="G47" s="1">
        <v>9</v>
      </c>
      <c r="H47" s="1">
        <v>0</v>
      </c>
      <c r="I47" s="1">
        <v>9</v>
      </c>
      <c r="J47" s="1">
        <f>COUNTIF('TABELA DISSERTAÇÃO'!E47:I47,"&lt;&gt;9")</f>
        <v>1</v>
      </c>
      <c r="K47" s="1">
        <f>SUMIF('TABELA DISSERTAÇÃO'!E47:I47,"&lt;&gt;9")</f>
        <v>0</v>
      </c>
      <c r="L47" s="1">
        <f t="shared" si="0"/>
        <v>0</v>
      </c>
    </row>
    <row r="48" spans="2:12" x14ac:dyDescent="0.35">
      <c r="B48" s="1" t="s">
        <v>59</v>
      </c>
      <c r="C48" s="1">
        <v>2014</v>
      </c>
      <c r="D48" s="1" t="s">
        <v>63</v>
      </c>
      <c r="E48" s="1">
        <v>9</v>
      </c>
      <c r="F48" s="1">
        <v>9</v>
      </c>
      <c r="G48" s="1">
        <v>9</v>
      </c>
      <c r="H48" s="1">
        <v>0</v>
      </c>
      <c r="I48" s="1">
        <v>9</v>
      </c>
      <c r="J48" s="1">
        <f>COUNTIF('TABELA DISSERTAÇÃO'!E48:I48,"&lt;&gt;9")</f>
        <v>1</v>
      </c>
      <c r="K48" s="1">
        <f>SUMIF('TABELA DISSERTAÇÃO'!E48:I48,"&lt;&gt;9")</f>
        <v>0</v>
      </c>
      <c r="L48" s="1">
        <f t="shared" si="0"/>
        <v>0</v>
      </c>
    </row>
    <row r="49" spans="2:12" x14ac:dyDescent="0.35">
      <c r="B49" s="1" t="s">
        <v>59</v>
      </c>
      <c r="C49" s="1">
        <v>2019</v>
      </c>
      <c r="D49" s="1" t="s">
        <v>64</v>
      </c>
      <c r="E49" s="1">
        <v>9</v>
      </c>
      <c r="F49" s="1">
        <v>9</v>
      </c>
      <c r="G49" s="1">
        <v>9</v>
      </c>
      <c r="H49" s="1">
        <v>0</v>
      </c>
      <c r="I49" s="1">
        <v>9</v>
      </c>
      <c r="J49" s="1">
        <f>COUNTIF('TABELA DISSERTAÇÃO'!E49:I49,"&lt;&gt;9")</f>
        <v>1</v>
      </c>
      <c r="K49" s="1">
        <f>SUMIF('TABELA DISSERTAÇÃO'!E49:I49,"&lt;&gt;9")</f>
        <v>0</v>
      </c>
      <c r="L49" s="1">
        <f t="shared" si="0"/>
        <v>0</v>
      </c>
    </row>
    <row r="50" spans="2:12" x14ac:dyDescent="0.35">
      <c r="B50" s="1" t="s">
        <v>65</v>
      </c>
      <c r="C50" s="1">
        <v>2000</v>
      </c>
      <c r="D50" s="1" t="s">
        <v>67</v>
      </c>
      <c r="E50" s="1">
        <v>9</v>
      </c>
      <c r="F50" s="1">
        <v>9</v>
      </c>
      <c r="G50" s="1">
        <v>9</v>
      </c>
      <c r="H50" s="1">
        <v>0</v>
      </c>
      <c r="I50" s="1">
        <v>9</v>
      </c>
      <c r="J50" s="1">
        <f>COUNTIF('TABELA DISSERTAÇÃO'!E50:I50,"&lt;&gt;9")</f>
        <v>1</v>
      </c>
      <c r="K50" s="1">
        <f>SUMIF('TABELA DISSERTAÇÃO'!E50:I50,"&lt;&gt;9")</f>
        <v>0</v>
      </c>
      <c r="L50" s="1">
        <f t="shared" si="0"/>
        <v>0</v>
      </c>
    </row>
    <row r="51" spans="2:12" x14ac:dyDescent="0.35">
      <c r="B51" s="1" t="s">
        <v>65</v>
      </c>
      <c r="C51" s="1">
        <v>2004</v>
      </c>
      <c r="D51" s="1" t="s">
        <v>68</v>
      </c>
      <c r="E51" s="1">
        <v>9</v>
      </c>
      <c r="F51" s="1">
        <v>9</v>
      </c>
      <c r="G51" s="1">
        <v>9</v>
      </c>
      <c r="H51" s="1">
        <v>0</v>
      </c>
      <c r="I51" s="1">
        <v>9</v>
      </c>
      <c r="J51" s="1">
        <f>COUNTIF('TABELA DISSERTAÇÃO'!E51:I51,"&lt;&gt;9")</f>
        <v>1</v>
      </c>
      <c r="K51" s="1">
        <f>SUMIF('TABELA DISSERTAÇÃO'!E51:I51,"&lt;&gt;9")</f>
        <v>0</v>
      </c>
      <c r="L51" s="1">
        <f t="shared" si="0"/>
        <v>0</v>
      </c>
    </row>
    <row r="52" spans="2:12" x14ac:dyDescent="0.35">
      <c r="B52" s="1" t="s">
        <v>65</v>
      </c>
      <c r="C52" s="1">
        <v>2008</v>
      </c>
      <c r="D52" s="1" t="s">
        <v>69</v>
      </c>
      <c r="E52" s="1">
        <v>9</v>
      </c>
      <c r="F52" s="1">
        <v>9</v>
      </c>
      <c r="G52" s="1">
        <v>9</v>
      </c>
      <c r="H52" s="1">
        <v>0</v>
      </c>
      <c r="I52" s="1">
        <v>9</v>
      </c>
      <c r="J52" s="1">
        <f>COUNTIF('TABELA DISSERTAÇÃO'!E52:I52,"&lt;&gt;9")</f>
        <v>1</v>
      </c>
      <c r="K52" s="1">
        <f>SUMIF('TABELA DISSERTAÇÃO'!E52:I52,"&lt;&gt;9")</f>
        <v>0</v>
      </c>
      <c r="L52" s="1">
        <f t="shared" si="0"/>
        <v>0</v>
      </c>
    </row>
    <row r="53" spans="2:12" x14ac:dyDescent="0.35">
      <c r="B53" s="1" t="s">
        <v>65</v>
      </c>
      <c r="C53" s="1">
        <v>2012</v>
      </c>
      <c r="D53" s="1" t="s">
        <v>226</v>
      </c>
      <c r="E53" s="1">
        <v>9</v>
      </c>
      <c r="F53" s="1">
        <v>9</v>
      </c>
      <c r="G53" s="1">
        <v>9</v>
      </c>
      <c r="H53" s="1">
        <v>0</v>
      </c>
      <c r="I53" s="1">
        <v>9</v>
      </c>
      <c r="J53" s="1">
        <f>COUNTIF('TABELA DISSERTAÇÃO'!E53:I53,"&lt;&gt;9")</f>
        <v>1</v>
      </c>
      <c r="K53" s="1">
        <f>SUMIF('TABELA DISSERTAÇÃO'!E53:I53,"&lt;&gt;9")</f>
        <v>0</v>
      </c>
      <c r="L53" s="1">
        <f t="shared" si="0"/>
        <v>0</v>
      </c>
    </row>
    <row r="54" spans="2:12" x14ac:dyDescent="0.35">
      <c r="B54" s="1" t="s">
        <v>65</v>
      </c>
      <c r="C54" s="1">
        <v>2015</v>
      </c>
      <c r="D54" s="1" t="s">
        <v>70</v>
      </c>
      <c r="E54" s="1">
        <v>9</v>
      </c>
      <c r="F54" s="1">
        <v>9</v>
      </c>
      <c r="G54" s="1">
        <v>9</v>
      </c>
      <c r="H54" s="1">
        <v>0</v>
      </c>
      <c r="I54" s="1">
        <v>9</v>
      </c>
      <c r="J54" s="1">
        <f>COUNTIF('TABELA DISSERTAÇÃO'!E54:I54,"&lt;&gt;9")</f>
        <v>1</v>
      </c>
      <c r="K54" s="1">
        <f>SUMIF('TABELA DISSERTAÇÃO'!E54:I54,"&lt;&gt;9")</f>
        <v>0</v>
      </c>
      <c r="L54" s="1">
        <f t="shared" si="0"/>
        <v>0</v>
      </c>
    </row>
    <row r="55" spans="2:12" x14ac:dyDescent="0.35">
      <c r="B55" s="1" t="s">
        <v>65</v>
      </c>
      <c r="C55" s="1">
        <v>2016</v>
      </c>
      <c r="D55" s="1" t="s">
        <v>71</v>
      </c>
      <c r="E55" s="1">
        <v>9</v>
      </c>
      <c r="F55" s="1">
        <v>9</v>
      </c>
      <c r="G55" s="1">
        <v>9</v>
      </c>
      <c r="H55" s="1">
        <v>0</v>
      </c>
      <c r="I55" s="1">
        <v>9</v>
      </c>
      <c r="J55" s="1">
        <f>COUNTIF('TABELA DISSERTAÇÃO'!E55:I55,"&lt;&gt;9")</f>
        <v>1</v>
      </c>
      <c r="K55" s="1">
        <f>SUMIF('TABELA DISSERTAÇÃO'!E55:I55,"&lt;&gt;9")</f>
        <v>0</v>
      </c>
      <c r="L55" s="1">
        <f t="shared" si="0"/>
        <v>0</v>
      </c>
    </row>
    <row r="56" spans="2:12" x14ac:dyDescent="0.35">
      <c r="B56" s="1" t="s">
        <v>65</v>
      </c>
      <c r="C56" s="1">
        <v>2020</v>
      </c>
      <c r="D56" s="1" t="s">
        <v>72</v>
      </c>
      <c r="E56" s="1">
        <v>9</v>
      </c>
      <c r="F56" s="1">
        <v>9</v>
      </c>
      <c r="G56" s="1">
        <v>9</v>
      </c>
      <c r="H56" s="1">
        <v>0</v>
      </c>
      <c r="I56" s="1">
        <v>9</v>
      </c>
      <c r="J56" s="1">
        <f>COUNTIF('TABELA DISSERTAÇÃO'!E56:I56,"&lt;&gt;9")</f>
        <v>1</v>
      </c>
      <c r="K56" s="1">
        <f>SUMIF('TABELA DISSERTAÇÃO'!E56:I56,"&lt;&gt;9")</f>
        <v>0</v>
      </c>
      <c r="L56" s="1">
        <f t="shared" si="0"/>
        <v>0</v>
      </c>
    </row>
    <row r="57" spans="2:12" x14ac:dyDescent="0.35">
      <c r="B57" s="1" t="s">
        <v>78</v>
      </c>
      <c r="C57" s="1">
        <v>2014</v>
      </c>
      <c r="D57" s="1" t="s">
        <v>83</v>
      </c>
      <c r="E57" s="1">
        <v>9</v>
      </c>
      <c r="F57" s="1">
        <v>9</v>
      </c>
      <c r="G57" s="1">
        <v>9</v>
      </c>
      <c r="H57" s="1">
        <v>0</v>
      </c>
      <c r="I57" s="1">
        <v>9</v>
      </c>
      <c r="J57" s="1">
        <f>COUNTIF('TABELA DISSERTAÇÃO'!E57:I57,"&lt;&gt;9")</f>
        <v>1</v>
      </c>
      <c r="K57" s="1">
        <f>SUMIF('TABELA DISSERTAÇÃO'!E57:I57,"&lt;&gt;9")</f>
        <v>0</v>
      </c>
      <c r="L57" s="1">
        <f t="shared" si="0"/>
        <v>0</v>
      </c>
    </row>
    <row r="58" spans="2:12" x14ac:dyDescent="0.35">
      <c r="B58" s="1" t="s">
        <v>78</v>
      </c>
      <c r="C58" s="1">
        <v>2018</v>
      </c>
      <c r="D58" s="1" t="s">
        <v>83</v>
      </c>
      <c r="E58" s="1">
        <v>9</v>
      </c>
      <c r="F58" s="1">
        <v>9</v>
      </c>
      <c r="G58" s="1">
        <v>9</v>
      </c>
      <c r="H58" s="1">
        <v>0</v>
      </c>
      <c r="I58" s="1">
        <v>9</v>
      </c>
      <c r="J58" s="1">
        <f>COUNTIF('TABELA DISSERTAÇÃO'!E58:I58,"&lt;&gt;9")</f>
        <v>1</v>
      </c>
      <c r="K58" s="1">
        <f>SUMIF('TABELA DISSERTAÇÃO'!E58:I58,"&lt;&gt;9")</f>
        <v>0</v>
      </c>
      <c r="L58" s="1">
        <f t="shared" si="0"/>
        <v>0</v>
      </c>
    </row>
    <row r="59" spans="2:12" x14ac:dyDescent="0.35">
      <c r="B59" s="1" t="s">
        <v>345</v>
      </c>
      <c r="C59" s="1">
        <v>2000</v>
      </c>
      <c r="D59" s="1" t="s">
        <v>86</v>
      </c>
      <c r="E59" s="1">
        <v>0</v>
      </c>
      <c r="F59" s="1">
        <v>0</v>
      </c>
      <c r="G59" s="1">
        <v>9</v>
      </c>
      <c r="H59" s="1">
        <v>0</v>
      </c>
      <c r="I59" s="1">
        <v>0</v>
      </c>
      <c r="J59" s="1">
        <f>COUNTIF('TABELA DISSERTAÇÃO'!E59:I59,"&lt;&gt;9")</f>
        <v>4</v>
      </c>
      <c r="K59" s="1">
        <f>SUMIF('TABELA DISSERTAÇÃO'!E59:I59,"&lt;&gt;9")</f>
        <v>0</v>
      </c>
      <c r="L59" s="1">
        <f t="shared" si="0"/>
        <v>0</v>
      </c>
    </row>
    <row r="60" spans="2:12" x14ac:dyDescent="0.35">
      <c r="B60" s="1" t="s">
        <v>345</v>
      </c>
      <c r="C60" s="1">
        <v>2006</v>
      </c>
      <c r="D60" s="1" t="s">
        <v>87</v>
      </c>
      <c r="E60" s="1">
        <v>0</v>
      </c>
      <c r="F60" s="1">
        <v>0</v>
      </c>
      <c r="G60" s="1">
        <v>9</v>
      </c>
      <c r="H60" s="1">
        <v>0</v>
      </c>
      <c r="I60" s="1">
        <v>0</v>
      </c>
      <c r="J60" s="1">
        <f>COUNTIF('TABELA DISSERTAÇÃO'!E60:I60,"&lt;&gt;9")</f>
        <v>4</v>
      </c>
      <c r="K60" s="1">
        <f>SUMIF('TABELA DISSERTAÇÃO'!E60:I60,"&lt;&gt;9")</f>
        <v>0</v>
      </c>
      <c r="L60" s="1">
        <f t="shared" si="0"/>
        <v>0</v>
      </c>
    </row>
    <row r="61" spans="2:12" x14ac:dyDescent="0.35">
      <c r="B61" s="1" t="s">
        <v>345</v>
      </c>
      <c r="C61" s="1">
        <v>2012</v>
      </c>
      <c r="D61" s="1" t="s">
        <v>88</v>
      </c>
      <c r="E61" s="1">
        <v>0</v>
      </c>
      <c r="F61" s="1">
        <v>0</v>
      </c>
      <c r="G61" s="1">
        <v>9</v>
      </c>
      <c r="H61" s="1">
        <v>0</v>
      </c>
      <c r="I61" s="1">
        <v>0</v>
      </c>
      <c r="J61" s="1">
        <f>COUNTIF('TABELA DISSERTAÇÃO'!E61:I61,"&lt;&gt;9")</f>
        <v>4</v>
      </c>
      <c r="K61" s="1">
        <f>SUMIF('TABELA DISSERTAÇÃO'!E61:I61,"&lt;&gt;9")</f>
        <v>0</v>
      </c>
      <c r="L61" s="1">
        <f t="shared" si="0"/>
        <v>0</v>
      </c>
    </row>
    <row r="62" spans="2:12" x14ac:dyDescent="0.35">
      <c r="B62" s="1" t="s">
        <v>345</v>
      </c>
      <c r="C62" s="1">
        <v>2018</v>
      </c>
      <c r="D62" s="1" t="s">
        <v>89</v>
      </c>
      <c r="E62" s="1">
        <v>1</v>
      </c>
      <c r="F62" s="1">
        <v>1</v>
      </c>
      <c r="G62" s="1">
        <v>9</v>
      </c>
      <c r="H62" s="1">
        <v>1</v>
      </c>
      <c r="I62" s="1">
        <v>1</v>
      </c>
      <c r="J62" s="1">
        <f>COUNTIF('TABELA DISSERTAÇÃO'!E62:I62,"&lt;&gt;9")</f>
        <v>4</v>
      </c>
      <c r="K62" s="1">
        <f>SUMIF('TABELA DISSERTAÇÃO'!E62:I62,"&lt;&gt;9")</f>
        <v>4</v>
      </c>
      <c r="L62" s="1">
        <f t="shared" si="0"/>
        <v>1</v>
      </c>
    </row>
    <row r="63" spans="2:12" x14ac:dyDescent="0.35">
      <c r="B63" s="1" t="s">
        <v>90</v>
      </c>
      <c r="C63" s="1">
        <v>2002</v>
      </c>
      <c r="D63" s="1" t="s">
        <v>92</v>
      </c>
      <c r="E63" s="1">
        <v>9</v>
      </c>
      <c r="F63" s="1">
        <v>0</v>
      </c>
      <c r="G63" s="1">
        <v>0</v>
      </c>
      <c r="H63" s="1">
        <v>0</v>
      </c>
      <c r="I63" s="1">
        <v>0</v>
      </c>
      <c r="J63" s="1">
        <f>COUNTIF('TABELA DISSERTAÇÃO'!E63:I63,"&lt;&gt;9")</f>
        <v>4</v>
      </c>
      <c r="K63" s="1">
        <f>SUMIF('TABELA DISSERTAÇÃO'!E63:I63,"&lt;&gt;9")</f>
        <v>0</v>
      </c>
      <c r="L63" s="1">
        <f t="shared" si="0"/>
        <v>0</v>
      </c>
    </row>
    <row r="64" spans="2:12" x14ac:dyDescent="0.35">
      <c r="B64" s="1" t="s">
        <v>346</v>
      </c>
      <c r="C64" s="1">
        <v>2004</v>
      </c>
      <c r="D64" s="1" t="s">
        <v>96</v>
      </c>
      <c r="E64" s="1">
        <v>9</v>
      </c>
      <c r="F64" s="1">
        <v>9</v>
      </c>
      <c r="G64" s="1">
        <v>9</v>
      </c>
      <c r="H64" s="1">
        <v>0</v>
      </c>
      <c r="I64" s="1">
        <v>9</v>
      </c>
      <c r="J64" s="1">
        <f>COUNTIF('TABELA DISSERTAÇÃO'!E64:I64,"&lt;&gt;9")</f>
        <v>1</v>
      </c>
      <c r="K64" s="1">
        <f>SUMIF('TABELA DISSERTAÇÃO'!E64:I64,"&lt;&gt;9")</f>
        <v>0</v>
      </c>
      <c r="L64" s="1">
        <f t="shared" si="0"/>
        <v>0</v>
      </c>
    </row>
    <row r="65" spans="2:12" x14ac:dyDescent="0.35">
      <c r="B65" s="1" t="s">
        <v>346</v>
      </c>
      <c r="C65" s="1">
        <v>2009</v>
      </c>
      <c r="D65" s="1" t="s">
        <v>97</v>
      </c>
      <c r="E65" s="1">
        <v>9</v>
      </c>
      <c r="F65" s="1">
        <v>9</v>
      </c>
      <c r="G65" s="1">
        <v>9</v>
      </c>
      <c r="H65" s="1">
        <v>0</v>
      </c>
      <c r="I65" s="1">
        <v>9</v>
      </c>
      <c r="J65" s="1">
        <f>COUNTIF('TABELA DISSERTAÇÃO'!E65:I65,"&lt;&gt;9")</f>
        <v>1</v>
      </c>
      <c r="K65" s="1">
        <f>SUMIF('TABELA DISSERTAÇÃO'!E65:I65,"&lt;&gt;9")</f>
        <v>0</v>
      </c>
      <c r="L65" s="1">
        <f t="shared" si="0"/>
        <v>0</v>
      </c>
    </row>
    <row r="66" spans="2:12" x14ac:dyDescent="0.35">
      <c r="B66" s="1" t="s">
        <v>346</v>
      </c>
      <c r="C66" s="1">
        <v>2014</v>
      </c>
      <c r="D66" s="1" t="s">
        <v>98</v>
      </c>
      <c r="E66" s="1">
        <v>9</v>
      </c>
      <c r="F66" s="1">
        <v>9</v>
      </c>
      <c r="G66" s="1">
        <v>9</v>
      </c>
      <c r="H66" s="1">
        <v>0</v>
      </c>
      <c r="I66" s="1">
        <v>9</v>
      </c>
      <c r="J66" s="1">
        <f>COUNTIF('TABELA DISSERTAÇÃO'!E66:I66,"&lt;&gt;9")</f>
        <v>1</v>
      </c>
      <c r="K66" s="1">
        <f>SUMIF('TABELA DISSERTAÇÃO'!E66:I66,"&lt;&gt;9")</f>
        <v>0</v>
      </c>
      <c r="L66" s="1">
        <f t="shared" si="0"/>
        <v>0</v>
      </c>
    </row>
    <row r="67" spans="2:12" x14ac:dyDescent="0.35">
      <c r="B67" s="1" t="s">
        <v>347</v>
      </c>
      <c r="C67" s="1">
        <v>2008</v>
      </c>
      <c r="D67" s="1" t="s">
        <v>103</v>
      </c>
      <c r="E67" s="1">
        <v>1</v>
      </c>
      <c r="F67" s="1">
        <v>1</v>
      </c>
      <c r="G67" s="1">
        <v>9</v>
      </c>
      <c r="H67" s="1">
        <v>0</v>
      </c>
      <c r="I67" s="1">
        <v>9</v>
      </c>
      <c r="J67" s="1">
        <f>COUNTIF('TABELA DISSERTAÇÃO'!E67:I67,"&lt;&gt;9")</f>
        <v>3</v>
      </c>
      <c r="K67" s="1">
        <f>SUMIF('TABELA DISSERTAÇÃO'!E67:I67,"&lt;&gt;9")</f>
        <v>2</v>
      </c>
      <c r="L67" s="1">
        <f t="shared" si="0"/>
        <v>1</v>
      </c>
    </row>
    <row r="68" spans="2:12" x14ac:dyDescent="0.35">
      <c r="B68" s="1" t="s">
        <v>347</v>
      </c>
      <c r="C68" s="1">
        <v>2018</v>
      </c>
      <c r="D68" s="1" t="s">
        <v>105</v>
      </c>
      <c r="E68" s="1">
        <v>0</v>
      </c>
      <c r="F68" s="1">
        <v>0</v>
      </c>
      <c r="G68" s="1">
        <v>9</v>
      </c>
      <c r="H68" s="1">
        <v>0</v>
      </c>
      <c r="I68" s="1">
        <v>9</v>
      </c>
      <c r="J68" s="1">
        <f>COUNTIF('TABELA DISSERTAÇÃO'!E68:I68,"&lt;&gt;9")</f>
        <v>3</v>
      </c>
      <c r="K68" s="1">
        <f>SUMIF('TABELA DISSERTAÇÃO'!E68:I68,"&lt;&gt;9")</f>
        <v>0</v>
      </c>
      <c r="L68" s="1">
        <f t="shared" ref="L68:L81" si="1">IFERROR(ROUND(K68/J68,0),9)</f>
        <v>0</v>
      </c>
    </row>
    <row r="69" spans="2:12" x14ac:dyDescent="0.35">
      <c r="B69" s="1" t="s">
        <v>107</v>
      </c>
      <c r="C69" s="1">
        <v>2011</v>
      </c>
      <c r="D69" s="1" t="s">
        <v>112</v>
      </c>
      <c r="E69" s="1">
        <v>0</v>
      </c>
      <c r="F69" s="1">
        <v>0</v>
      </c>
      <c r="G69" s="1">
        <v>0</v>
      </c>
      <c r="H69" s="1">
        <v>0</v>
      </c>
      <c r="I69" s="1">
        <v>9</v>
      </c>
      <c r="J69" s="1">
        <f>COUNTIF('TABELA DISSERTAÇÃO'!E69:I69,"&lt;&gt;9")</f>
        <v>4</v>
      </c>
      <c r="K69" s="1">
        <f>SUMIF('TABELA DISSERTAÇÃO'!E69:I69,"&lt;&gt;9")</f>
        <v>0</v>
      </c>
      <c r="L69" s="1">
        <f t="shared" si="1"/>
        <v>0</v>
      </c>
    </row>
    <row r="70" spans="2:12" x14ac:dyDescent="0.35">
      <c r="B70" s="1" t="s">
        <v>107</v>
      </c>
      <c r="C70" s="1">
        <v>2016</v>
      </c>
      <c r="D70" s="1" t="s">
        <v>113</v>
      </c>
      <c r="E70" s="1">
        <v>0</v>
      </c>
      <c r="F70" s="1">
        <v>0</v>
      </c>
      <c r="G70" s="1">
        <v>0</v>
      </c>
      <c r="H70" s="1">
        <v>0</v>
      </c>
      <c r="I70" s="1">
        <v>9</v>
      </c>
      <c r="J70" s="1">
        <f>COUNTIF('TABELA DISSERTAÇÃO'!E70:I70,"&lt;&gt;9")</f>
        <v>4</v>
      </c>
      <c r="K70" s="1">
        <f>SUMIF('TABELA DISSERTAÇÃO'!E70:I70,"&lt;&gt;9")</f>
        <v>0</v>
      </c>
      <c r="L70" s="1">
        <f t="shared" si="1"/>
        <v>0</v>
      </c>
    </row>
    <row r="71" spans="2:12" x14ac:dyDescent="0.35">
      <c r="B71" s="1" t="s">
        <v>107</v>
      </c>
      <c r="C71" s="1">
        <v>2018</v>
      </c>
      <c r="D71" s="1" t="s">
        <v>273</v>
      </c>
      <c r="E71" s="1">
        <v>0</v>
      </c>
      <c r="F71" s="1">
        <v>0</v>
      </c>
      <c r="G71" s="1">
        <v>0</v>
      </c>
      <c r="H71" s="1">
        <v>0</v>
      </c>
      <c r="I71" s="1">
        <v>9</v>
      </c>
      <c r="J71" s="1">
        <f>COUNTIF('TABELA DISSERTAÇÃO'!E71:I71,"&lt;&gt;9")</f>
        <v>4</v>
      </c>
      <c r="K71" s="1">
        <f>SUMIF('TABELA DISSERTAÇÃO'!E71:I71,"&lt;&gt;9")</f>
        <v>0</v>
      </c>
      <c r="L71" s="1">
        <f t="shared" si="1"/>
        <v>0</v>
      </c>
    </row>
    <row r="72" spans="2:12" x14ac:dyDescent="0.35">
      <c r="B72" s="1" t="s">
        <v>107</v>
      </c>
      <c r="C72" s="1">
        <v>2020</v>
      </c>
      <c r="D72" s="1" t="s">
        <v>274</v>
      </c>
      <c r="E72" s="1">
        <v>0</v>
      </c>
      <c r="F72" s="1">
        <v>9</v>
      </c>
      <c r="G72" s="1">
        <v>9</v>
      </c>
      <c r="H72" s="1">
        <v>0</v>
      </c>
      <c r="I72" s="1">
        <v>9</v>
      </c>
      <c r="J72" s="1">
        <f>COUNTIF('TABELA DISSERTAÇÃO'!E72:I72,"&lt;&gt;9")</f>
        <v>2</v>
      </c>
      <c r="K72" s="1">
        <f>SUMIF('TABELA DISSERTAÇÃO'!E72:I72,"&lt;&gt;9")</f>
        <v>0</v>
      </c>
      <c r="L72" s="1">
        <f t="shared" si="1"/>
        <v>0</v>
      </c>
    </row>
    <row r="73" spans="2:12" x14ac:dyDescent="0.35">
      <c r="B73" s="1" t="s">
        <v>348</v>
      </c>
      <c r="C73" s="1">
        <v>2000</v>
      </c>
      <c r="D73" s="1" t="s">
        <v>117</v>
      </c>
      <c r="E73" s="1">
        <v>9</v>
      </c>
      <c r="F73" s="1">
        <v>9</v>
      </c>
      <c r="G73" s="1">
        <v>9</v>
      </c>
      <c r="H73" s="1">
        <v>0</v>
      </c>
      <c r="I73" s="1">
        <v>9</v>
      </c>
      <c r="J73" s="1">
        <f>COUNTIF('TABELA DISSERTAÇÃO'!E73:I73,"&lt;&gt;9")</f>
        <v>1</v>
      </c>
      <c r="K73" s="1">
        <f>SUMIF('TABELA DISSERTAÇÃO'!E73:I73,"&lt;&gt;9")</f>
        <v>0</v>
      </c>
      <c r="L73" s="1">
        <f t="shared" si="1"/>
        <v>0</v>
      </c>
    </row>
    <row r="74" spans="2:12" x14ac:dyDescent="0.35">
      <c r="B74" s="1" t="s">
        <v>348</v>
      </c>
      <c r="C74" s="1">
        <v>2005</v>
      </c>
      <c r="D74" s="1" t="s">
        <v>118</v>
      </c>
      <c r="E74" s="1">
        <v>9</v>
      </c>
      <c r="F74" s="1">
        <v>9</v>
      </c>
      <c r="G74" s="1">
        <v>9</v>
      </c>
      <c r="H74" s="1">
        <v>0</v>
      </c>
      <c r="I74" s="1">
        <v>9</v>
      </c>
      <c r="J74" s="1">
        <f>COUNTIF('TABELA DISSERTAÇÃO'!E74:I74,"&lt;&gt;9")</f>
        <v>1</v>
      </c>
      <c r="K74" s="1">
        <f>SUMIF('TABELA DISSERTAÇÃO'!E74:I74,"&lt;&gt;9")</f>
        <v>0</v>
      </c>
      <c r="L74" s="1">
        <f t="shared" si="1"/>
        <v>0</v>
      </c>
    </row>
    <row r="75" spans="2:12" x14ac:dyDescent="0.35">
      <c r="B75" s="1" t="s">
        <v>348</v>
      </c>
      <c r="C75" s="1">
        <v>2010</v>
      </c>
      <c r="D75" s="1" t="s">
        <v>119</v>
      </c>
      <c r="E75" s="1">
        <v>9</v>
      </c>
      <c r="F75" s="1">
        <v>9</v>
      </c>
      <c r="G75" s="1">
        <v>9</v>
      </c>
      <c r="H75" s="1">
        <v>0</v>
      </c>
      <c r="I75" s="1">
        <v>9</v>
      </c>
      <c r="J75" s="1">
        <f>COUNTIF('TABELA DISSERTAÇÃO'!E75:I75,"&lt;&gt;9")</f>
        <v>1</v>
      </c>
      <c r="K75" s="1">
        <f>SUMIF('TABELA DISSERTAÇÃO'!E75:I75,"&lt;&gt;9")</f>
        <v>0</v>
      </c>
      <c r="L75" s="1">
        <f t="shared" si="1"/>
        <v>0</v>
      </c>
    </row>
    <row r="76" spans="2:12" x14ac:dyDescent="0.35">
      <c r="B76" s="1" t="s">
        <v>348</v>
      </c>
      <c r="C76" s="1">
        <v>2015</v>
      </c>
      <c r="D76" s="1" t="s">
        <v>118</v>
      </c>
      <c r="E76" s="1">
        <v>9</v>
      </c>
      <c r="F76" s="1">
        <v>9</v>
      </c>
      <c r="G76" s="1">
        <v>9</v>
      </c>
      <c r="H76" s="1">
        <v>0</v>
      </c>
      <c r="I76" s="1">
        <v>9</v>
      </c>
      <c r="J76" s="1">
        <f>COUNTIF('TABELA DISSERTAÇÃO'!E76:I76,"&lt;&gt;9")</f>
        <v>1</v>
      </c>
      <c r="K76" s="1">
        <f>SUMIF('TABELA DISSERTAÇÃO'!E76:I76,"&lt;&gt;9")</f>
        <v>0</v>
      </c>
      <c r="L76" s="1">
        <f t="shared" si="1"/>
        <v>0</v>
      </c>
    </row>
    <row r="77" spans="2:12" x14ac:dyDescent="0.35">
      <c r="B77" s="1" t="s">
        <v>348</v>
      </c>
      <c r="C77" s="1">
        <v>2020</v>
      </c>
      <c r="D77" s="1" t="s">
        <v>290</v>
      </c>
      <c r="E77" s="1">
        <v>9</v>
      </c>
      <c r="F77" s="1">
        <v>9</v>
      </c>
      <c r="G77" s="1">
        <v>9</v>
      </c>
      <c r="H77" s="1">
        <v>0</v>
      </c>
      <c r="I77" s="1">
        <v>9</v>
      </c>
      <c r="J77" s="1">
        <f>COUNTIF('TABELA DISSERTAÇÃO'!E77:I77,"&lt;&gt;9")</f>
        <v>1</v>
      </c>
      <c r="K77" s="1">
        <f>SUMIF('TABELA DISSERTAÇÃO'!E77:I77,"&lt;&gt;9")</f>
        <v>0</v>
      </c>
      <c r="L77" s="1">
        <f t="shared" si="1"/>
        <v>0</v>
      </c>
    </row>
    <row r="78" spans="2:12" x14ac:dyDescent="0.35">
      <c r="B78" s="1" t="s">
        <v>120</v>
      </c>
      <c r="C78" s="1">
        <v>2002</v>
      </c>
      <c r="D78" s="1" t="s">
        <v>122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f>COUNTIF('TABELA DISSERTAÇÃO'!E78:I78,"&lt;&gt;9")</f>
        <v>5</v>
      </c>
      <c r="K78" s="1">
        <f>SUMIF('TABELA DISSERTAÇÃO'!E78:I78,"&lt;&gt;9")</f>
        <v>5</v>
      </c>
      <c r="L78" s="1">
        <f t="shared" si="1"/>
        <v>1</v>
      </c>
    </row>
    <row r="79" spans="2:12" x14ac:dyDescent="0.35">
      <c r="B79" s="1" t="s">
        <v>120</v>
      </c>
      <c r="C79" s="1">
        <v>2007</v>
      </c>
      <c r="D79" s="1" t="s">
        <v>122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f>COUNTIF('TABELA DISSERTAÇÃO'!E79:I79,"&lt;&gt;9")</f>
        <v>5</v>
      </c>
      <c r="K79" s="1">
        <f>SUMIF('TABELA DISSERTAÇÃO'!E79:I79,"&lt;&gt;9")</f>
        <v>5</v>
      </c>
      <c r="L79" s="1">
        <f t="shared" si="1"/>
        <v>1</v>
      </c>
    </row>
    <row r="80" spans="2:12" x14ac:dyDescent="0.35">
      <c r="B80" s="1" t="s">
        <v>120</v>
      </c>
      <c r="C80" s="1">
        <v>2013</v>
      </c>
      <c r="D80" s="1" t="s">
        <v>123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f>COUNTIF('TABELA DISSERTAÇÃO'!E80:I80,"&lt;&gt;9")</f>
        <v>5</v>
      </c>
      <c r="K80" s="1">
        <f>SUMIF('TABELA DISSERTAÇÃO'!E80:I80,"&lt;&gt;9")</f>
        <v>5</v>
      </c>
      <c r="L80" s="1">
        <f t="shared" si="1"/>
        <v>1</v>
      </c>
    </row>
    <row r="81" spans="2:12" x14ac:dyDescent="0.35">
      <c r="B81" s="1" t="s">
        <v>120</v>
      </c>
      <c r="C81" s="1">
        <v>2019</v>
      </c>
      <c r="D81" s="1" t="s">
        <v>123</v>
      </c>
      <c r="E81" s="1">
        <v>1</v>
      </c>
      <c r="F81" s="1">
        <v>1</v>
      </c>
      <c r="G81" s="1">
        <v>1</v>
      </c>
      <c r="H81" s="1">
        <v>1</v>
      </c>
      <c r="I81" s="1">
        <v>9</v>
      </c>
      <c r="J81" s="1">
        <f>COUNTIF('TABELA DISSERTAÇÃO'!E81:I81,"&lt;&gt;9")</f>
        <v>4</v>
      </c>
      <c r="K81" s="1">
        <f>SUMIF('TABELA DISSERTAÇÃO'!E81:I81,"&lt;&gt;9")</f>
        <v>4</v>
      </c>
      <c r="L81" s="1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CATALOGO</vt:lpstr>
      <vt:lpstr>TABELA DISSERTAÇÃO</vt:lpstr>
      <vt:lpstr>TABELA FLAG POPULISMO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Pyles Siqueira</dc:creator>
  <cp:lastModifiedBy>Andre Pyles Siqueira</cp:lastModifiedBy>
  <dcterms:created xsi:type="dcterms:W3CDTF">2024-12-07T19:17:34Z</dcterms:created>
  <dcterms:modified xsi:type="dcterms:W3CDTF">2025-08-09T15:11:46Z</dcterms:modified>
</cp:coreProperties>
</file>